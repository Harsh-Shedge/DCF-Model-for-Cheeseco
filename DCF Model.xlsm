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filterPrivacy="1" codeName="ThisWorkbook" defaultThemeVersion="124226"/>
  <xr:revisionPtr revIDLastSave="0" documentId="13_ncr:1_{501298CD-23C8-47AC-99F0-16264BB1DB4F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1.Input --&gt;" sheetId="17" r:id="rId1"/>
    <sheet name="P&amp;L assumptions" sheetId="8" r:id="rId2"/>
    <sheet name="BS assumptions" sheetId="9" r:id="rId3"/>
    <sheet name="2.Output--&gt;" sheetId="18" r:id="rId4"/>
    <sheet name="P&amp;L" sheetId="5" r:id="rId5"/>
    <sheet name="BS" sheetId="7" r:id="rId6"/>
    <sheet name="BS source" sheetId="3" r:id="rId7"/>
    <sheet name="Cash Flow" sheetId="6" r:id="rId8"/>
    <sheet name="DCF valuation" sheetId="11" r:id="rId9"/>
    <sheet name="4.Sources --&gt;" sheetId="1" r:id="rId10"/>
    <sheet name="P&amp;L source" sheetId="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1" l="1"/>
  <c r="C22" i="11"/>
  <c r="H7" i="11"/>
  <c r="I7" i="11"/>
  <c r="J7" i="11"/>
  <c r="K7" i="11"/>
  <c r="G7" i="11"/>
  <c r="H9" i="11"/>
  <c r="H10" i="11" s="1"/>
  <c r="I9" i="11"/>
  <c r="I10" i="11" s="1"/>
  <c r="J9" i="11"/>
  <c r="J10" i="11" s="1"/>
  <c r="K9" i="11"/>
  <c r="K10" i="11" s="1"/>
  <c r="G9" i="11"/>
  <c r="E7" i="11"/>
  <c r="F7" i="11"/>
  <c r="D7" i="11"/>
  <c r="D28" i="6"/>
  <c r="G27" i="6"/>
  <c r="F27" i="6"/>
  <c r="H27" i="6"/>
  <c r="I27" i="6"/>
  <c r="J27" i="6"/>
  <c r="K27" i="6"/>
  <c r="F28" i="6"/>
  <c r="G28" i="6"/>
  <c r="H28" i="6"/>
  <c r="I28" i="6"/>
  <c r="J28" i="6"/>
  <c r="K28" i="6"/>
  <c r="E27" i="6"/>
  <c r="E28" i="6"/>
  <c r="D27" i="6"/>
  <c r="E24" i="6"/>
  <c r="F24" i="6"/>
  <c r="G24" i="6"/>
  <c r="H24" i="6"/>
  <c r="I24" i="6"/>
  <c r="J24" i="6"/>
  <c r="K24" i="6"/>
  <c r="D24" i="6"/>
  <c r="I23" i="6"/>
  <c r="J23" i="6"/>
  <c r="K23" i="6"/>
  <c r="H23" i="6"/>
  <c r="G23" i="6"/>
  <c r="E23" i="6"/>
  <c r="F23" i="6"/>
  <c r="D23" i="6"/>
  <c r="I22" i="6"/>
  <c r="J22" i="6"/>
  <c r="K22" i="6"/>
  <c r="H22" i="6"/>
  <c r="G22" i="6"/>
  <c r="F22" i="6"/>
  <c r="E22" i="6"/>
  <c r="D22" i="6"/>
  <c r="E21" i="6"/>
  <c r="F21" i="6"/>
  <c r="G21" i="6"/>
  <c r="H21" i="6"/>
  <c r="I21" i="6"/>
  <c r="J21" i="6"/>
  <c r="K21" i="6"/>
  <c r="D21" i="6"/>
  <c r="E20" i="6"/>
  <c r="F20" i="6"/>
  <c r="G20" i="6"/>
  <c r="H20" i="6"/>
  <c r="I20" i="6"/>
  <c r="J20" i="6"/>
  <c r="K20" i="6"/>
  <c r="D20" i="6"/>
  <c r="I10" i="6"/>
  <c r="J10" i="6"/>
  <c r="K10" i="6"/>
  <c r="I11" i="6"/>
  <c r="J11" i="6"/>
  <c r="K11" i="6"/>
  <c r="I12" i="6"/>
  <c r="J12" i="6"/>
  <c r="K12" i="6"/>
  <c r="H12" i="6"/>
  <c r="H11" i="6"/>
  <c r="H10" i="6"/>
  <c r="H13" i="6"/>
  <c r="H18" i="6" s="1"/>
  <c r="I13" i="6"/>
  <c r="I18" i="6" s="1"/>
  <c r="K13" i="6"/>
  <c r="K18" i="6" s="1"/>
  <c r="G11" i="6"/>
  <c r="G10" i="6"/>
  <c r="E18" i="6"/>
  <c r="F18" i="6"/>
  <c r="D18" i="6"/>
  <c r="E17" i="6"/>
  <c r="F17" i="6"/>
  <c r="G17" i="6"/>
  <c r="H17" i="6"/>
  <c r="I17" i="6"/>
  <c r="J17" i="6"/>
  <c r="K17" i="6"/>
  <c r="D17" i="6"/>
  <c r="G16" i="6"/>
  <c r="E16" i="6"/>
  <c r="F16" i="6"/>
  <c r="H16" i="6"/>
  <c r="I16" i="6"/>
  <c r="J16" i="6"/>
  <c r="K16" i="6"/>
  <c r="D16" i="6"/>
  <c r="H15" i="6"/>
  <c r="I15" i="6"/>
  <c r="J15" i="6"/>
  <c r="K15" i="6"/>
  <c r="G15" i="6"/>
  <c r="F15" i="6"/>
  <c r="E15" i="6"/>
  <c r="D15" i="6"/>
  <c r="I14" i="6"/>
  <c r="J14" i="6"/>
  <c r="K14" i="6"/>
  <c r="H14" i="6"/>
  <c r="G14" i="6"/>
  <c r="E14" i="6"/>
  <c r="D14" i="6"/>
  <c r="E13" i="6"/>
  <c r="F13" i="6"/>
  <c r="G13" i="6"/>
  <c r="G18" i="6" s="1"/>
  <c r="J13" i="6"/>
  <c r="J18" i="6" s="1"/>
  <c r="D13" i="6"/>
  <c r="G12" i="6"/>
  <c r="E12" i="6"/>
  <c r="F12" i="6"/>
  <c r="D12" i="6"/>
  <c r="E11" i="6"/>
  <c r="F11" i="6"/>
  <c r="D11" i="6"/>
  <c r="E10" i="6"/>
  <c r="F10" i="6"/>
  <c r="D10" i="6"/>
  <c r="E8" i="6"/>
  <c r="F8" i="6"/>
  <c r="G8" i="6"/>
  <c r="H8" i="6"/>
  <c r="I8" i="6"/>
  <c r="J8" i="6"/>
  <c r="K8" i="6"/>
  <c r="D8" i="6"/>
  <c r="I5" i="6"/>
  <c r="I7" i="6" s="1"/>
  <c r="J5" i="6"/>
  <c r="J7" i="6" s="1"/>
  <c r="K5" i="6"/>
  <c r="K7" i="6" s="1"/>
  <c r="D5" i="6"/>
  <c r="E4" i="6"/>
  <c r="E5" i="6" s="1"/>
  <c r="F4" i="6"/>
  <c r="G4" i="6"/>
  <c r="G5" i="6" s="1"/>
  <c r="G7" i="6" s="1"/>
  <c r="H4" i="6"/>
  <c r="H5" i="6" s="1"/>
  <c r="H7" i="6" s="1"/>
  <c r="I4" i="6"/>
  <c r="J4" i="6"/>
  <c r="K4" i="6"/>
  <c r="D4" i="6"/>
  <c r="D7" i="6" s="1"/>
  <c r="D9" i="6" s="1"/>
  <c r="I16" i="7"/>
  <c r="J16" i="7" s="1"/>
  <c r="K16" i="7" s="1"/>
  <c r="H16" i="7"/>
  <c r="G16" i="7"/>
  <c r="H15" i="7"/>
  <c r="I15" i="7"/>
  <c r="J15" i="7"/>
  <c r="K15" i="7"/>
  <c r="G15" i="7"/>
  <c r="K6" i="7"/>
  <c r="K4" i="7"/>
  <c r="H6" i="7"/>
  <c r="I6" i="7"/>
  <c r="J6" i="7"/>
  <c r="G6" i="7"/>
  <c r="G11" i="7" s="1"/>
  <c r="H4" i="7"/>
  <c r="I4" i="7"/>
  <c r="J4" i="7"/>
  <c r="G4" i="7"/>
  <c r="C17" i="7"/>
  <c r="D16" i="7"/>
  <c r="E16" i="7"/>
  <c r="C16" i="7"/>
  <c r="D15" i="7"/>
  <c r="E15" i="7"/>
  <c r="C15" i="7"/>
  <c r="K14" i="7"/>
  <c r="J14" i="7"/>
  <c r="I14" i="7"/>
  <c r="H14" i="7"/>
  <c r="G14" i="7"/>
  <c r="K13" i="7"/>
  <c r="J13" i="7"/>
  <c r="I13" i="7"/>
  <c r="I17" i="7" s="1"/>
  <c r="H13" i="7"/>
  <c r="H17" i="7" s="1"/>
  <c r="G13" i="7"/>
  <c r="G17" i="7" s="1"/>
  <c r="K10" i="7"/>
  <c r="J10" i="7"/>
  <c r="I10" i="7"/>
  <c r="H10" i="7"/>
  <c r="G10" i="7"/>
  <c r="K9" i="7"/>
  <c r="J9" i="7"/>
  <c r="I9" i="7"/>
  <c r="H9" i="7"/>
  <c r="G9" i="7"/>
  <c r="K8" i="7"/>
  <c r="J8" i="7"/>
  <c r="I8" i="7"/>
  <c r="H8" i="7"/>
  <c r="G8" i="7"/>
  <c r="K7" i="7"/>
  <c r="J7" i="7"/>
  <c r="I7" i="7"/>
  <c r="H7" i="7"/>
  <c r="G7" i="7"/>
  <c r="K5" i="7"/>
  <c r="J5" i="7"/>
  <c r="I5" i="7"/>
  <c r="H5" i="7"/>
  <c r="G5" i="7"/>
  <c r="K11" i="7"/>
  <c r="J11" i="7"/>
  <c r="I11" i="7"/>
  <c r="H11" i="7"/>
  <c r="E14" i="7"/>
  <c r="E13" i="7"/>
  <c r="E17" i="7" s="1"/>
  <c r="E9" i="7"/>
  <c r="E8" i="7"/>
  <c r="E7" i="7"/>
  <c r="E5" i="7"/>
  <c r="E11" i="7"/>
  <c r="D14" i="7"/>
  <c r="D13" i="7"/>
  <c r="D17" i="7" s="1"/>
  <c r="D9" i="7"/>
  <c r="D8" i="7"/>
  <c r="D7" i="7"/>
  <c r="D5" i="7"/>
  <c r="D11" i="7"/>
  <c r="C11" i="7"/>
  <c r="C5" i="7"/>
  <c r="C7" i="7"/>
  <c r="C8" i="7"/>
  <c r="C9" i="7"/>
  <c r="C13" i="7"/>
  <c r="C14" i="7"/>
  <c r="I54" i="8"/>
  <c r="J54" i="8" s="1"/>
  <c r="K54" i="8" s="1"/>
  <c r="K18" i="5" s="1"/>
  <c r="H54" i="8"/>
  <c r="G54" i="8"/>
  <c r="D18" i="5"/>
  <c r="E18" i="5"/>
  <c r="F18" i="5"/>
  <c r="G18" i="5"/>
  <c r="H18" i="5"/>
  <c r="I18" i="5"/>
  <c r="C18" i="5"/>
  <c r="C17" i="5"/>
  <c r="D9" i="5"/>
  <c r="E9" i="5"/>
  <c r="F9" i="5"/>
  <c r="C9" i="5"/>
  <c r="C12" i="5" s="1"/>
  <c r="D11" i="5"/>
  <c r="E11" i="5"/>
  <c r="C11" i="5"/>
  <c r="E16" i="5"/>
  <c r="D16" i="5"/>
  <c r="C16" i="5"/>
  <c r="E15" i="5"/>
  <c r="D15" i="5"/>
  <c r="C15" i="5"/>
  <c r="E13" i="5"/>
  <c r="D13" i="5"/>
  <c r="C13" i="5"/>
  <c r="E8" i="5"/>
  <c r="D8" i="5"/>
  <c r="C8" i="5"/>
  <c r="E5" i="5"/>
  <c r="E6" i="5" s="1"/>
  <c r="D5" i="5"/>
  <c r="D6" i="5" s="1"/>
  <c r="C5" i="5"/>
  <c r="E4" i="5"/>
  <c r="D4" i="5"/>
  <c r="C4" i="5"/>
  <c r="F12" i="5"/>
  <c r="F14" i="5" s="1"/>
  <c r="F17" i="5" s="1"/>
  <c r="F6" i="5"/>
  <c r="I21" i="9"/>
  <c r="H21" i="9"/>
  <c r="K21" i="9" s="1"/>
  <c r="G21" i="9"/>
  <c r="I18" i="9"/>
  <c r="H18" i="9"/>
  <c r="K18" i="9" s="1"/>
  <c r="G18" i="9"/>
  <c r="E21" i="9"/>
  <c r="D21" i="9"/>
  <c r="C21" i="9"/>
  <c r="D18" i="9"/>
  <c r="E18" i="9"/>
  <c r="C18" i="9"/>
  <c r="C15" i="9"/>
  <c r="H15" i="9"/>
  <c r="G15" i="9"/>
  <c r="I15" i="9" s="1"/>
  <c r="D15" i="9"/>
  <c r="E15" i="9"/>
  <c r="E12" i="9"/>
  <c r="D12" i="9"/>
  <c r="C12" i="9"/>
  <c r="D9" i="9"/>
  <c r="E9" i="9"/>
  <c r="C9" i="9"/>
  <c r="D6" i="9"/>
  <c r="E6" i="9"/>
  <c r="C6" i="9"/>
  <c r="D55" i="8"/>
  <c r="E55" i="8"/>
  <c r="C55" i="8"/>
  <c r="D49" i="8"/>
  <c r="E49" i="8"/>
  <c r="C49" i="8"/>
  <c r="E43" i="8"/>
  <c r="D43" i="8"/>
  <c r="G37" i="8"/>
  <c r="E37" i="8"/>
  <c r="D37" i="8"/>
  <c r="C37" i="8"/>
  <c r="C31" i="8"/>
  <c r="E19" i="8"/>
  <c r="D19" i="8"/>
  <c r="D31" i="8"/>
  <c r="E31" i="8"/>
  <c r="K55" i="8"/>
  <c r="J55" i="8"/>
  <c r="I55" i="8"/>
  <c r="H55" i="8"/>
  <c r="G55" i="8"/>
  <c r="K49" i="8"/>
  <c r="J49" i="8"/>
  <c r="I49" i="8"/>
  <c r="H49" i="8"/>
  <c r="G49" i="8"/>
  <c r="K43" i="8"/>
  <c r="J43" i="8"/>
  <c r="I43" i="8"/>
  <c r="H43" i="8"/>
  <c r="G43" i="8"/>
  <c r="G42" i="8" s="1"/>
  <c r="K37" i="8"/>
  <c r="J37" i="8"/>
  <c r="I37" i="8"/>
  <c r="H37" i="8"/>
  <c r="K31" i="8"/>
  <c r="J31" i="8"/>
  <c r="I31" i="8"/>
  <c r="H31" i="8"/>
  <c r="K25" i="8"/>
  <c r="J25" i="8"/>
  <c r="I25" i="8"/>
  <c r="H25" i="8"/>
  <c r="G25" i="8"/>
  <c r="K19" i="8"/>
  <c r="J19" i="8"/>
  <c r="I19" i="8"/>
  <c r="H19" i="8"/>
  <c r="G19" i="8"/>
  <c r="E18" i="8"/>
  <c r="G18" i="8" s="1"/>
  <c r="G5" i="5" s="1"/>
  <c r="D18" i="8"/>
  <c r="E54" i="8"/>
  <c r="E48" i="8"/>
  <c r="E42" i="8"/>
  <c r="E36" i="8"/>
  <c r="E30" i="8"/>
  <c r="E24" i="8"/>
  <c r="D54" i="8"/>
  <c r="D48" i="8"/>
  <c r="D42" i="8"/>
  <c r="D36" i="8"/>
  <c r="D30" i="8"/>
  <c r="D24" i="8"/>
  <c r="C54" i="8"/>
  <c r="C48" i="8"/>
  <c r="C42" i="8"/>
  <c r="C36" i="8"/>
  <c r="C30" i="8"/>
  <c r="C24" i="8"/>
  <c r="C18" i="8"/>
  <c r="G10" i="11" l="1"/>
  <c r="C17" i="11" s="1"/>
  <c r="F5" i="6"/>
  <c r="F7" i="6" s="1"/>
  <c r="E7" i="6"/>
  <c r="E9" i="6" s="1"/>
  <c r="J17" i="7"/>
  <c r="K17" i="7"/>
  <c r="J18" i="5"/>
  <c r="F19" i="5"/>
  <c r="H42" i="8"/>
  <c r="I42" i="8" s="1"/>
  <c r="C6" i="5"/>
  <c r="G15" i="5"/>
  <c r="H15" i="5"/>
  <c r="C14" i="5"/>
  <c r="C19" i="5" s="1"/>
  <c r="D12" i="5"/>
  <c r="D14" i="5" s="1"/>
  <c r="D17" i="5" s="1"/>
  <c r="E12" i="5"/>
  <c r="E14" i="5" s="1"/>
  <c r="E17" i="5" s="1"/>
  <c r="J21" i="9"/>
  <c r="J18" i="9"/>
  <c r="K15" i="9"/>
  <c r="J15" i="9"/>
  <c r="H18" i="8"/>
  <c r="K13" i="8"/>
  <c r="J13" i="8"/>
  <c r="I13" i="8"/>
  <c r="H13" i="8"/>
  <c r="G13" i="8"/>
  <c r="C18" i="11" l="1"/>
  <c r="E19" i="5"/>
  <c r="D19" i="5"/>
  <c r="J42" i="8"/>
  <c r="I15" i="5"/>
  <c r="I18" i="8"/>
  <c r="H5" i="5"/>
  <c r="E12" i="8"/>
  <c r="E25" i="8" s="1"/>
  <c r="D12" i="8"/>
  <c r="D25" i="8" s="1"/>
  <c r="C12" i="8"/>
  <c r="C25" i="8" s="1"/>
  <c r="C19" i="11" l="1"/>
  <c r="I5" i="5"/>
  <c r="J18" i="8"/>
  <c r="K42" i="8"/>
  <c r="K15" i="5" s="1"/>
  <c r="J15" i="5"/>
  <c r="D13" i="8"/>
  <c r="E13" i="8"/>
  <c r="G12" i="8"/>
  <c r="C20" i="11" l="1"/>
  <c r="G20" i="9"/>
  <c r="G4" i="5"/>
  <c r="G6" i="5" s="1"/>
  <c r="G17" i="9"/>
  <c r="G14" i="9"/>
  <c r="G5" i="9"/>
  <c r="K18" i="8"/>
  <c r="K5" i="5" s="1"/>
  <c r="J5" i="5"/>
  <c r="G36" i="8"/>
  <c r="G48" i="8"/>
  <c r="G16" i="5" s="1"/>
  <c r="H12" i="8"/>
  <c r="G24" i="8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22" i="11" l="1"/>
  <c r="C23" i="11"/>
  <c r="D17" i="11"/>
  <c r="D18" i="11"/>
  <c r="D19" i="11"/>
  <c r="H48" i="8"/>
  <c r="H16" i="5" s="1"/>
  <c r="H20" i="9"/>
  <c r="H4" i="5"/>
  <c r="H6" i="5" s="1"/>
  <c r="H17" i="9"/>
  <c r="H5" i="9"/>
  <c r="H14" i="9"/>
  <c r="G8" i="9"/>
  <c r="G11" i="9"/>
  <c r="G8" i="5"/>
  <c r="G9" i="5" s="1"/>
  <c r="H30" i="8"/>
  <c r="H11" i="5" s="1"/>
  <c r="H36" i="8"/>
  <c r="H24" i="8"/>
  <c r="I12" i="8"/>
  <c r="E8" i="3"/>
  <c r="K17" i="3"/>
  <c r="J17" i="3"/>
  <c r="D15" i="3"/>
  <c r="F15" i="3"/>
  <c r="F8" i="3"/>
  <c r="D8" i="3"/>
  <c r="L17" i="3"/>
  <c r="E15" i="3"/>
  <c r="L8" i="3"/>
  <c r="K8" i="3"/>
  <c r="J8" i="3"/>
  <c r="H8" i="9" l="1"/>
  <c r="H11" i="9"/>
  <c r="H8" i="5"/>
  <c r="I48" i="8"/>
  <c r="I16" i="5" s="1"/>
  <c r="I20" i="9"/>
  <c r="I4" i="5"/>
  <c r="I6" i="5" s="1"/>
  <c r="I17" i="9"/>
  <c r="I5" i="9"/>
  <c r="I14" i="9"/>
  <c r="I30" i="8"/>
  <c r="I11" i="5" s="1"/>
  <c r="I36" i="8"/>
  <c r="J12" i="8"/>
  <c r="I24" i="8"/>
  <c r="D19" i="3"/>
  <c r="F19" i="3"/>
  <c r="L19" i="3"/>
  <c r="J19" i="3"/>
  <c r="K19" i="3"/>
  <c r="E19" i="3"/>
  <c r="H9" i="5" l="1"/>
  <c r="H12" i="5" s="1"/>
  <c r="H14" i="5" s="1"/>
  <c r="H17" i="5" s="1"/>
  <c r="H19" i="5" s="1"/>
  <c r="I8" i="9"/>
  <c r="I11" i="9"/>
  <c r="I8" i="5"/>
  <c r="J48" i="8"/>
  <c r="J16" i="5" s="1"/>
  <c r="J20" i="9"/>
  <c r="J4" i="5"/>
  <c r="J6" i="5" s="1"/>
  <c r="J17" i="9"/>
  <c r="J5" i="9"/>
  <c r="J14" i="9"/>
  <c r="J30" i="8"/>
  <c r="J11" i="5" s="1"/>
  <c r="J36" i="8"/>
  <c r="K12" i="8"/>
  <c r="J24" i="8"/>
  <c r="L22" i="3"/>
  <c r="K22" i="3"/>
  <c r="J22" i="3"/>
  <c r="G31" i="8"/>
  <c r="G30" i="8" s="1"/>
  <c r="G11" i="5" s="1"/>
  <c r="G12" i="5" s="1"/>
  <c r="G14" i="5" s="1"/>
  <c r="G17" i="5" s="1"/>
  <c r="I9" i="5" l="1"/>
  <c r="I12" i="5" s="1"/>
  <c r="I14" i="5" s="1"/>
  <c r="I17" i="5" s="1"/>
  <c r="I19" i="5" s="1"/>
  <c r="J8" i="9"/>
  <c r="J11" i="9"/>
  <c r="J8" i="5"/>
  <c r="K20" i="9"/>
  <c r="K4" i="5"/>
  <c r="K6" i="5" s="1"/>
  <c r="K17" i="9"/>
  <c r="K5" i="9"/>
  <c r="K14" i="9"/>
  <c r="G19" i="5"/>
  <c r="K36" i="8"/>
  <c r="K48" i="8"/>
  <c r="K16" i="5" s="1"/>
  <c r="K24" i="8"/>
  <c r="K30" i="8"/>
  <c r="K11" i="5" s="1"/>
  <c r="J9" i="5" l="1"/>
  <c r="J12" i="5" s="1"/>
  <c r="J14" i="5" s="1"/>
  <c r="J17" i="5" s="1"/>
  <c r="J19" i="5" s="1"/>
  <c r="K8" i="9"/>
  <c r="K11" i="9"/>
  <c r="K8" i="5"/>
  <c r="K9" i="5" l="1"/>
  <c r="K12" i="5" s="1"/>
  <c r="K14" i="5" s="1"/>
  <c r="K17" i="5" s="1"/>
  <c r="K19" i="5" s="1"/>
</calcChain>
</file>

<file path=xl/sharedStrings.xml><?xml version="1.0" encoding="utf-8"?>
<sst xmlns="http://schemas.openxmlformats.org/spreadsheetml/2006/main" count="249" uniqueCount="145">
  <si>
    <t>BS source</t>
  </si>
  <si>
    <t>P&amp;L source</t>
  </si>
  <si>
    <t>DCF Valuation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</si>
  <si>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</si>
  <si>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</si>
  <si>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</si>
  <si>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</si>
  <si>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</si>
  <si>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</si>
  <si>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</si>
  <si>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</si>
  <si>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</si>
  <si>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</si>
  <si>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</si>
  <si>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</si>
  <si>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</si>
  <si>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</si>
  <si>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</si>
  <si>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</si>
  <si>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P&amp;L assumptions</t>
  </si>
  <si>
    <t>BS assumptions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</si>
  <si>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</si>
  <si>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</si>
  <si>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</si>
  <si>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</si>
  <si>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</si>
  <si>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</si>
  <si>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</si>
  <si>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</si>
  <si>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</si>
  <si>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</si>
  <si>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</si>
  <si>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</si>
  <si>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</si>
  <si>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</si>
  <si>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</si>
  <si>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</si>
  <si>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</si>
  <si>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</si>
  <si>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</si>
  <si>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</si>
  <si>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</si>
  <si>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</si>
  <si>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</si>
  <si>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</si>
  <si>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</si>
  <si>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Note</t>
  </si>
  <si>
    <t>Balance Sheet</t>
  </si>
  <si>
    <t>1.Input --&gt;</t>
  </si>
  <si>
    <t>2.Output --&gt;</t>
  </si>
  <si>
    <t>4.Sources --&gt;</t>
  </si>
  <si>
    <t>Direct costs</t>
  </si>
  <si>
    <t>.</t>
  </si>
  <si>
    <t>Revenues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</si>
  <si>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</si>
  <si>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</si>
  <si>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</si>
  <si>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</si>
  <si>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</si>
  <si>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</si>
  <si>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</si>
  <si>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</si>
  <si>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</si>
  <si>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</si>
  <si>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</si>
  <si>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</si>
  <si>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</si>
  <si>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</si>
  <si>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</si>
  <si>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</si>
  <si>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</si>
  <si>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</si>
  <si>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</si>
  <si>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</si>
  <si>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</si>
  <si>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</si>
  <si>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</si>
  <si>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</si>
  <si>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</si>
  <si>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Optimistic case</t>
  </si>
  <si>
    <t>Base case</t>
  </si>
  <si>
    <t>Worst case</t>
  </si>
  <si>
    <t>Selected case</t>
  </si>
  <si>
    <t>Scenarios:</t>
  </si>
  <si>
    <t>y-o-y growth%</t>
  </si>
  <si>
    <t>Other revenues</t>
  </si>
  <si>
    <t>y-o-y growth %</t>
  </si>
  <si>
    <t>Case 1</t>
  </si>
  <si>
    <t>Case 2</t>
  </si>
  <si>
    <t>Case 3</t>
  </si>
  <si>
    <t>Cost of goods sold</t>
  </si>
  <si>
    <t>% of revenues</t>
  </si>
  <si>
    <t>Operating expenses</t>
  </si>
  <si>
    <t>Interest expense</t>
  </si>
  <si>
    <t>% of EBT</t>
  </si>
  <si>
    <t>Type the scenario below
1,2 or 3</t>
  </si>
  <si>
    <t>Trade Receivables</t>
  </si>
  <si>
    <t>Days receivable</t>
  </si>
  <si>
    <t>Days Inventory</t>
  </si>
  <si>
    <t>Trade payables</t>
  </si>
  <si>
    <t>Days payable</t>
  </si>
  <si>
    <t>as a % of revenue</t>
  </si>
  <si>
    <t>Total Revenues</t>
  </si>
  <si>
    <t>Gross margin</t>
  </si>
  <si>
    <t>Interest Expense</t>
  </si>
  <si>
    <t>Retained Earnings</t>
  </si>
  <si>
    <t>Operating Expenses</t>
  </si>
  <si>
    <t>Trade Payables</t>
  </si>
  <si>
    <t>Financial liabilities</t>
  </si>
  <si>
    <t>Shareholder's equity</t>
  </si>
  <si>
    <t>Total Liabilities &amp; Equities</t>
  </si>
  <si>
    <t>Falt</t>
  </si>
  <si>
    <t>Flat</t>
  </si>
  <si>
    <t>Last Years equity + net income</t>
  </si>
  <si>
    <t>Unlevered Cash Flow</t>
  </si>
  <si>
    <t>Operating taxes</t>
  </si>
  <si>
    <t>Operating tax rate</t>
  </si>
  <si>
    <t>NOPAT</t>
  </si>
  <si>
    <t>Add-back D&amp;A</t>
  </si>
  <si>
    <t>Gross Cash Flow</t>
  </si>
  <si>
    <t>Investments in working Capital</t>
  </si>
  <si>
    <t>Investments in other assets/liabilities</t>
  </si>
  <si>
    <t>Capex</t>
  </si>
  <si>
    <t>Other Investments</t>
  </si>
  <si>
    <t>Extraordinary items</t>
  </si>
  <si>
    <t>Unlevered Free cash flow</t>
  </si>
  <si>
    <t>Delta Taxes vs Operating Taxes</t>
  </si>
  <si>
    <t>Interest expenses</t>
  </si>
  <si>
    <t>Delta Financial liabilities</t>
  </si>
  <si>
    <t>Net Cash Flow</t>
  </si>
  <si>
    <t>Delta Equity (incl. dividends)</t>
  </si>
  <si>
    <t>Opening Cash</t>
  </si>
  <si>
    <t>Closing Cash</t>
  </si>
  <si>
    <t>WACC</t>
  </si>
  <si>
    <t>UFCF</t>
  </si>
  <si>
    <t>Dsicount Factor</t>
  </si>
  <si>
    <t>Present value of UFCF</t>
  </si>
  <si>
    <t>PV of Cash flow</t>
  </si>
  <si>
    <t>Continuing value</t>
  </si>
  <si>
    <t>PV of Computing value</t>
  </si>
  <si>
    <t>Enterprise value</t>
  </si>
  <si>
    <t>Cash</t>
  </si>
  <si>
    <t>Equity value</t>
  </si>
  <si>
    <t>Perpetuity growth (g)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</si>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</sst>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164" formatCode="_-* #,##0_-;\-* #,##0_-;_-* &quot;-&quot;_-;_-@_-"/>
    <numFmt numFmtId="165" formatCode="_(&quot;$&quot;* #,##0_);_(&quot;$&quot;* \(#,##0\);_(&quot;$&quot;* &quot;-&quot;_);_(@_)"/>
    <numFmt numFmtId="166" formatCode="_(* #,##0.00_);_(* \(#,##0.00\);_(* &quot;-&quot;??_);_(@_)"/>
    <numFmt numFmtId="167" formatCode="_(* #,##0.0_);_(* \(#,##0.0\);_(* &quot;-&quot;?_);@_)"/>
    <numFmt numFmtId="168" formatCode="_(* #,##0.0_);_(* \(#,##0.0\);_(* &quot;-&quot;?_);@_l"/>
    <numFmt numFmtId="169" formatCode="_(* #,##0_);_(* \(#,##0\);_(* &quot;-&quot;?_);@_)"/>
    <numFmt numFmtId="170" formatCode="0.0%"/>
    <numFmt numFmtId="171" formatCode="_(* #,##0_);_(* \(#,##0\);_(* &quot;-&quot;??_);_(@_)"/>
    <numFmt numFmtId="172" formatCode="_(* #,##0_);_(* \(#,##0\);_(* &quot;-&quot;?_);@_l"/>
    <numFmt numFmtId="173" formatCode="_-* #,##0.00\ &quot;€&quot;_-;\-* #,##0.00\ &quot;€&quot;_-;_-* &quot;-&quot;??\ &quot;€&quot;_-;_-@_-"/>
    <numFmt numFmtId="174" formatCode="_-* #,##0.00\ _€_-;\-* #,##0.00\ _€_-;_-* &quot;-&quot;??\ _€_-;_-@_-"/>
    <numFmt numFmtId="175" formatCode="_-* #,##0\ _D_M_-;\-* #,##0\ _D_M_-;_-* &quot;-&quot;\ _D_M_-;_-@_-"/>
    <numFmt numFmtId="176" formatCode="_-* #,##0.00\ &quot;Kc&quot;_-;\-* #,##0.00\ &quot;Kc&quot;_-;_-* &quot;-&quot;??\ &quot;Kc&quot;_-;_-@_-"/>
    <numFmt numFmtId="177" formatCode="\(0\'\)"/>
    <numFmt numFmtId="178" formatCode="0.00_)"/>
    <numFmt numFmtId="179" formatCode="#,##0;\(#,##0\);&quot;-&quot;"/>
    <numFmt numFmtId="180" formatCode="#,##0_);\(#,##0\);&quot; - &quot;_);@_)"/>
    <numFmt numFmtId="181" formatCode="\ #,##0.0_);\(#,##0.0\);&quot; - &quot;_);@_)"/>
    <numFmt numFmtId="182" formatCode="_(* #,##0.0_);_(* \(#,##0.0\);_(* &quot;-&quot;??_);_(@_)"/>
    <numFmt numFmtId="183" formatCode="_(* #,##0.00_);_(* \(#,##0.00\);_(* &quot;-&quot;?_);@_)"/>
  </numFmts>
  <fonts count="66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sz val="9"/>
      <name val="Arial"/>
      <family val="2"/>
    </font>
    <font>
      <sz val="9"/>
      <color theme="0" tint="-4.9989318521683403E-2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  <fill>
      <patternFill patternType="solid">
        <fgColor theme="3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66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3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6" fontId="30" fillId="0" borderId="0" applyFont="0" applyFill="0" applyBorder="0" applyAlignment="0" applyProtection="0"/>
    <xf numFmtId="175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5" fontId="13" fillId="0" borderId="0" applyFont="0" applyFill="0" applyBorder="0" applyAlignment="0" applyProtection="0"/>
    <xf numFmtId="177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8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9" fontId="51" fillId="0" borderId="0"/>
    <xf numFmtId="179" fontId="13" fillId="0" borderId="0"/>
    <xf numFmtId="179" fontId="53" fillId="0" borderId="0"/>
    <xf numFmtId="0" fontId="54" fillId="0" borderId="0">
      <alignment horizontal="left"/>
    </xf>
    <xf numFmtId="164" fontId="52" fillId="0" borderId="18" applyFill="0" applyBorder="0" applyProtection="0">
      <alignment horizontal="right" vertical="top"/>
    </xf>
    <xf numFmtId="179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80" fontId="52" fillId="0" borderId="0" applyFill="0" applyBorder="0">
      <alignment horizontal="right" vertical="top"/>
    </xf>
    <xf numFmtId="181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9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</cellStyleXfs>
  <cellXfs count="92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167" fontId="2" fillId="2" borderId="0" xfId="0" applyNumberFormat="1" applyFont="1" applyFill="1"/>
    <xf numFmtId="167" fontId="1" fillId="2" borderId="0" xfId="0" applyNumberFormat="1" applyFont="1" applyFill="1"/>
    <xf numFmtId="167" fontId="3" fillId="2" borderId="2" xfId="0" applyNumberFormat="1" applyFont="1" applyFill="1" applyBorder="1"/>
    <xf numFmtId="167" fontId="3" fillId="2" borderId="2" xfId="0" applyNumberFormat="1" applyFont="1" applyFill="1" applyBorder="1" applyAlignment="1">
      <alignment horizontal="right" wrapText="1"/>
    </xf>
    <xf numFmtId="167" fontId="3" fillId="2" borderId="3" xfId="0" applyNumberFormat="1" applyFont="1" applyFill="1" applyBorder="1"/>
    <xf numFmtId="168" fontId="1" fillId="2" borderId="0" xfId="0" applyNumberFormat="1" applyFont="1" applyFill="1"/>
    <xf numFmtId="168" fontId="2" fillId="2" borderId="0" xfId="0" applyNumberFormat="1" applyFont="1" applyFill="1"/>
    <xf numFmtId="169" fontId="1" fillId="2" borderId="0" xfId="0" applyNumberFormat="1" applyFont="1" applyFill="1"/>
    <xf numFmtId="169" fontId="3" fillId="2" borderId="3" xfId="0" applyNumberFormat="1" applyFont="1" applyFill="1" applyBorder="1"/>
    <xf numFmtId="167" fontId="1" fillId="2" borderId="3" xfId="0" applyNumberFormat="1" applyFont="1" applyFill="1" applyBorder="1"/>
    <xf numFmtId="167" fontId="8" fillId="2" borderId="0" xfId="0" applyNumberFormat="1" applyFont="1" applyFill="1"/>
    <xf numFmtId="167" fontId="6" fillId="2" borderId="4" xfId="0" applyNumberFormat="1" applyFont="1" applyFill="1" applyBorder="1"/>
    <xf numFmtId="167" fontId="6" fillId="2" borderId="4" xfId="0" applyNumberFormat="1" applyFont="1" applyFill="1" applyBorder="1" applyAlignment="1">
      <alignment horizontal="right" wrapText="1"/>
    </xf>
    <xf numFmtId="167" fontId="6" fillId="3" borderId="4" xfId="0" applyNumberFormat="1" applyFont="1" applyFill="1" applyBorder="1" applyAlignment="1">
      <alignment horizontal="right" wrapText="1"/>
    </xf>
    <xf numFmtId="167" fontId="1" fillId="3" borderId="0" xfId="0" applyNumberFormat="1" applyFont="1" applyFill="1"/>
    <xf numFmtId="167" fontId="6" fillId="2" borderId="0" xfId="0" applyNumberFormat="1" applyFont="1" applyFill="1" applyAlignment="1">
      <alignment horizontal="right" wrapText="1"/>
    </xf>
    <xf numFmtId="167" fontId="6" fillId="2" borderId="4" xfId="0" applyNumberFormat="1" applyFont="1" applyFill="1" applyBorder="1" applyAlignment="1">
      <alignment wrapText="1"/>
    </xf>
    <xf numFmtId="167" fontId="6" fillId="2" borderId="0" xfId="0" applyNumberFormat="1" applyFont="1" applyFill="1"/>
    <xf numFmtId="9" fontId="1" fillId="2" borderId="0" xfId="2" applyFont="1" applyFill="1"/>
    <xf numFmtId="170" fontId="1" fillId="2" borderId="0" xfId="2" applyNumberFormat="1" applyFont="1" applyFill="1"/>
    <xf numFmtId="9" fontId="1" fillId="3" borderId="0" xfId="2" applyFont="1" applyFill="1"/>
    <xf numFmtId="169" fontId="1" fillId="3" borderId="0" xfId="0" applyNumberFormat="1" applyFont="1" applyFill="1"/>
    <xf numFmtId="169" fontId="12" fillId="2" borderId="0" xfId="0" applyNumberFormat="1" applyFont="1" applyFill="1"/>
    <xf numFmtId="169" fontId="1" fillId="2" borderId="3" xfId="0" applyNumberFormat="1" applyFont="1" applyFill="1" applyBorder="1"/>
    <xf numFmtId="172" fontId="1" fillId="2" borderId="0" xfId="0" applyNumberFormat="1" applyFont="1" applyFill="1"/>
    <xf numFmtId="172" fontId="1" fillId="3" borderId="0" xfId="0" applyNumberFormat="1" applyFont="1" applyFill="1"/>
    <xf numFmtId="167" fontId="3" fillId="2" borderId="19" xfId="0" applyNumberFormat="1" applyFont="1" applyFill="1" applyBorder="1"/>
    <xf numFmtId="169" fontId="3" fillId="2" borderId="19" xfId="0" applyNumberFormat="1" applyFont="1" applyFill="1" applyBorder="1"/>
    <xf numFmtId="169" fontId="6" fillId="3" borderId="0" xfId="0" applyNumberFormat="1" applyFont="1" applyFill="1"/>
    <xf numFmtId="169" fontId="6" fillId="2" borderId="0" xfId="0" applyNumberFormat="1" applyFont="1" applyFill="1"/>
    <xf numFmtId="167" fontId="10" fillId="2" borderId="0" xfId="0" applyNumberFormat="1" applyFont="1" applyFill="1"/>
    <xf numFmtId="167" fontId="12" fillId="2" borderId="0" xfId="0" applyNumberFormat="1" applyFont="1" applyFill="1"/>
    <xf numFmtId="172" fontId="6" fillId="2" borderId="0" xfId="0" applyNumberFormat="1" applyFont="1" applyFill="1"/>
    <xf numFmtId="169" fontId="1" fillId="2" borderId="0" xfId="0" applyNumberFormat="1" applyFont="1" applyFill="1" applyAlignment="1">
      <alignment horizontal="right"/>
    </xf>
    <xf numFmtId="171" fontId="1" fillId="2" borderId="0" xfId="0" applyNumberFormat="1" applyFont="1" applyFill="1"/>
    <xf numFmtId="9" fontId="1" fillId="2" borderId="0" xfId="2" applyFont="1" applyFill="1" applyAlignment="1">
      <alignment horizontal="right"/>
    </xf>
    <xf numFmtId="171" fontId="1" fillId="3" borderId="0" xfId="0" applyNumberFormat="1" applyFont="1" applyFill="1"/>
    <xf numFmtId="170" fontId="8" fillId="2" borderId="0" xfId="2" applyNumberFormat="1" applyFont="1" applyFill="1"/>
    <xf numFmtId="167" fontId="8" fillId="3" borderId="0" xfId="0" applyNumberFormat="1" applyFont="1" applyFill="1"/>
    <xf numFmtId="171" fontId="1" fillId="2" borderId="0" xfId="3" applyNumberFormat="1" applyFont="1" applyFill="1"/>
    <xf numFmtId="0" fontId="11" fillId="4" borderId="0" xfId="0" applyFont="1" applyFill="1"/>
    <xf numFmtId="182" fontId="1" fillId="2" borderId="0" xfId="3" applyNumberFormat="1" applyFont="1" applyFill="1"/>
    <xf numFmtId="168" fontId="64" fillId="2" borderId="0" xfId="0" applyNumberFormat="1" applyFont="1" applyFill="1"/>
    <xf numFmtId="166" fontId="1" fillId="3" borderId="0" xfId="3" applyFont="1" applyFill="1"/>
    <xf numFmtId="167" fontId="1" fillId="2" borderId="0" xfId="0" applyNumberFormat="1" applyFont="1" applyFill="1" applyAlignment="1">
      <alignment horizontal="right"/>
    </xf>
    <xf numFmtId="9" fontId="6" fillId="2" borderId="0" xfId="2" applyFont="1" applyFill="1"/>
    <xf numFmtId="167" fontId="11" fillId="2" borderId="0" xfId="0" applyNumberFormat="1" applyFont="1" applyFill="1"/>
    <xf numFmtId="169" fontId="11" fillId="2" borderId="0" xfId="0" applyNumberFormat="1" applyFont="1" applyFill="1"/>
    <xf numFmtId="168" fontId="9" fillId="2" borderId="0" xfId="0" applyNumberFormat="1" applyFont="1" applyFill="1"/>
    <xf numFmtId="169" fontId="9" fillId="2" borderId="0" xfId="0" applyNumberFormat="1" applyFont="1" applyFill="1"/>
    <xf numFmtId="169" fontId="10" fillId="2" borderId="0" xfId="0" applyNumberFormat="1" applyFont="1" applyFill="1"/>
    <xf numFmtId="183" fontId="1" fillId="2" borderId="0" xfId="0" applyNumberFormat="1" applyFont="1" applyFill="1"/>
    <xf numFmtId="0" fontId="63" fillId="2" borderId="0" xfId="134" applyFont="1" applyFill="1"/>
    <xf numFmtId="167" fontId="1" fillId="47" borderId="0" xfId="0" applyNumberFormat="1" applyFont="1" applyFill="1"/>
    <xf numFmtId="169" fontId="1" fillId="2" borderId="0" xfId="2" applyNumberFormat="1" applyFont="1" applyFill="1" applyAlignment="1">
      <alignment horizontal="right"/>
    </xf>
    <xf numFmtId="0" fontId="11" fillId="2" borderId="0" xfId="0" applyFont="1" applyFill="1"/>
    <xf numFmtId="10" fontId="1" fillId="2" borderId="0" xfId="2" applyNumberFormat="1" applyFont="1" applyFill="1"/>
    <xf numFmtId="10" fontId="1" fillId="3" borderId="0" xfId="2" applyNumberFormat="1" applyFont="1" applyFill="1"/>
    <xf numFmtId="171" fontId="1" fillId="3" borderId="0" xfId="3" applyNumberFormat="1" applyFont="1" applyFill="1"/>
    <xf numFmtId="167" fontId="3" fillId="2" borderId="0" xfId="0" applyNumberFormat="1" applyFont="1" applyFill="1"/>
    <xf numFmtId="167" fontId="3" fillId="2" borderId="0" xfId="0" applyNumberFormat="1" applyFont="1" applyFill="1" applyAlignment="1">
      <alignment wrapText="1"/>
    </xf>
    <xf numFmtId="167" fontId="10" fillId="48" borderId="0" xfId="0" applyNumberFormat="1" applyFont="1" applyFill="1"/>
    <xf numFmtId="169" fontId="11" fillId="48" borderId="0" xfId="0" applyNumberFormat="1" applyFont="1" applyFill="1"/>
    <xf numFmtId="167" fontId="6" fillId="2" borderId="19" xfId="0" applyNumberFormat="1" applyFont="1" applyFill="1" applyBorder="1"/>
    <xf numFmtId="169" fontId="6" fillId="2" borderId="19" xfId="0" applyNumberFormat="1" applyFont="1" applyFill="1" applyBorder="1"/>
    <xf numFmtId="169" fontId="6" fillId="3" borderId="19" xfId="0" applyNumberFormat="1" applyFont="1" applyFill="1" applyBorder="1"/>
    <xf numFmtId="169" fontId="1" fillId="2" borderId="19" xfId="0" applyNumberFormat="1" applyFont="1" applyFill="1" applyBorder="1"/>
    <xf numFmtId="169" fontId="1" fillId="3" borderId="19" xfId="0" applyNumberFormat="1" applyFont="1" applyFill="1" applyBorder="1"/>
    <xf numFmtId="167" fontId="6" fillId="2" borderId="20" xfId="0" applyNumberFormat="1" applyFont="1" applyFill="1" applyBorder="1"/>
    <xf numFmtId="169" fontId="1" fillId="2" borderId="20" xfId="0" applyNumberFormat="1" applyFont="1" applyFill="1" applyBorder="1"/>
    <xf numFmtId="169" fontId="6" fillId="3" borderId="20" xfId="0" applyNumberFormat="1" applyFont="1" applyFill="1" applyBorder="1"/>
    <xf numFmtId="169" fontId="6" fillId="2" borderId="2" xfId="0" applyNumberFormat="1" applyFont="1" applyFill="1" applyBorder="1"/>
    <xf numFmtId="169" fontId="3" fillId="2" borderId="2" xfId="0" applyNumberFormat="1" applyFont="1" applyFill="1" applyBorder="1"/>
    <xf numFmtId="168" fontId="64" fillId="2" borderId="19" xfId="0" applyNumberFormat="1" applyFont="1" applyFill="1" applyBorder="1"/>
    <xf numFmtId="172" fontId="6" fillId="2" borderId="19" xfId="0" applyNumberFormat="1" applyFont="1" applyFill="1" applyBorder="1"/>
    <xf numFmtId="168" fontId="1" fillId="2" borderId="19" xfId="0" applyNumberFormat="1" applyFont="1" applyFill="1" applyBorder="1"/>
    <xf numFmtId="168" fontId="12" fillId="2" borderId="2" xfId="0" applyNumberFormat="1" applyFont="1" applyFill="1" applyBorder="1"/>
    <xf numFmtId="168" fontId="65" fillId="4" borderId="0" xfId="0" applyNumberFormat="1" applyFont="1" applyFill="1"/>
    <xf numFmtId="172" fontId="6" fillId="3" borderId="19" xfId="0" applyNumberFormat="1" applyFont="1" applyFill="1" applyBorder="1"/>
    <xf numFmtId="172" fontId="6" fillId="3" borderId="0" xfId="0" applyNumberFormat="1" applyFont="1" applyFill="1"/>
    <xf numFmtId="168" fontId="1" fillId="3" borderId="0" xfId="0" applyNumberFormat="1" applyFont="1" applyFill="1"/>
    <xf numFmtId="169" fontId="9" fillId="3" borderId="0" xfId="0" applyNumberFormat="1" applyFont="1" applyFill="1"/>
    <xf numFmtId="9" fontId="10" fillId="4" borderId="0" xfId="2" applyFont="1" applyFill="1"/>
    <xf numFmtId="167" fontId="1" fillId="2" borderId="19" xfId="0" applyNumberFormat="1" applyFont="1" applyFill="1" applyBorder="1"/>
    <xf numFmtId="167" fontId="1" fillId="2" borderId="21" xfId="0" applyNumberFormat="1" applyFont="1" applyFill="1" applyBorder="1"/>
    <xf numFmtId="167" fontId="1" fillId="2" borderId="22" xfId="0" applyNumberFormat="1" applyFont="1" applyFill="1" applyBorder="1"/>
    <xf numFmtId="169" fontId="1" fillId="2" borderId="22" xfId="0" applyNumberFormat="1" applyFont="1" applyFill="1" applyBorder="1"/>
    <xf numFmtId="167" fontId="10" fillId="4" borderId="0" xfId="0" applyNumberFormat="1" applyFont="1" applyFill="1" applyAlignment="1">
      <alignment horizontal="center"/>
    </xf>
  </cellXfs>
  <cellStyles count="166">
    <cellStyle name="%" xfId="136" xr:uid="{00000000-0005-0000-0000-000000000000}"/>
    <cellStyle name="_x0002_._x0011__x0002_._x001b__x0002_ _x0015_%_x0018__x0001_" xfId="5" xr:uid="{00000000-0005-0000-0000-000001000000}"/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5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9" xr:uid="{00000000-0005-0000-0000-000038000000}"/>
    <cellStyle name="EY0dp" xfId="147" xr:uid="{00000000-0005-0000-0000-000039000000}"/>
    <cellStyle name="EY1dp" xfId="148" xr:uid="{00000000-0005-0000-0000-00003A000000}"/>
    <cellStyle name="EYChartTitle" xfId="142" xr:uid="{00000000-0005-0000-0000-00003B000000}"/>
    <cellStyle name="EYColumnHeading" xfId="145" xr:uid="{00000000-0005-0000-0000-00003C000000}"/>
    <cellStyle name="EYCurrency" xfId="144" xr:uid="{00000000-0005-0000-0000-00003D000000}"/>
    <cellStyle name="EYnumber" xfId="143" xr:uid="{00000000-0005-0000-0000-00003E000000}"/>
    <cellStyle name="EYSectionHeading" xfId="139" xr:uid="{00000000-0005-0000-0000-00003F000000}"/>
    <cellStyle name="EYSheetHeading" xfId="141" xr:uid="{00000000-0005-0000-0000-000040000000}"/>
    <cellStyle name="EYsmallheading" xfId="140" xr:uid="{00000000-0005-0000-0000-000041000000}"/>
    <cellStyle name="EYSource" xfId="150" xr:uid="{00000000-0005-0000-0000-000042000000}"/>
    <cellStyle name="EYtext" xfId="146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1" xr:uid="{00000000-0005-0000-0000-000056000000}"/>
    <cellStyle name="Normal 2 2" xfId="153" xr:uid="{00000000-0005-0000-0000-000057000000}"/>
    <cellStyle name="Normal 3" xfId="152" xr:uid="{00000000-0005-0000-0000-000058000000}"/>
    <cellStyle name="Normal 4" xfId="154" xr:uid="{00000000-0005-0000-0000-000059000000}"/>
    <cellStyle name="Normal 5" xfId="4" xr:uid="{00000000-0005-0000-0000-00005A000000}"/>
    <cellStyle name="Normal_Project Accel Valuation v56" xfId="134" xr:uid="{00000000-0005-0000-0000-00005B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cent" xfId="2" builtinId="5"/>
    <cellStyle name="Percent [2]" xfId="79" xr:uid="{00000000-0005-0000-0000-000062000000}"/>
    <cellStyle name="Percent 2" xfId="156" xr:uid="{00000000-0005-0000-0000-000063000000}"/>
    <cellStyle name="Percent 3" xfId="78" xr:uid="{00000000-0005-0000-0000-000064000000}"/>
    <cellStyle name="Percent 5" xfId="80" xr:uid="{00000000-0005-0000-0000-000065000000}"/>
    <cellStyle name="Prozent 2" xfId="135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7" xr:uid="{00000000-0005-0000-0000-000096000000}"/>
    <cellStyle name="Standard 4" xfId="157" xr:uid="{00000000-0005-0000-0000-000097000000}"/>
    <cellStyle name="Stil 1" xfId="131" xr:uid="{00000000-0005-0000-0000-000098000000}"/>
    <cellStyle name="Style 1" xfId="126" xr:uid="{00000000-0005-0000-0000-000099000000}"/>
    <cellStyle name="Tahoma:10:1" xfId="161" xr:uid="{00000000-0005-0000-0000-00009A000000}"/>
    <cellStyle name="Tahoma:10:129" xfId="162" xr:uid="{00000000-0005-0000-0000-00009B000000}"/>
    <cellStyle name="Tahoma:12:1" xfId="158" xr:uid="{00000000-0005-0000-0000-00009C000000}"/>
    <cellStyle name="Tahoma:12:129" xfId="163" xr:uid="{00000000-0005-0000-0000-00009D000000}"/>
    <cellStyle name="Tahoma:8:0" xfId="159" xr:uid="{00000000-0005-0000-0000-00009E000000}"/>
    <cellStyle name="Tahoma:8:1" xfId="160" xr:uid="{00000000-0005-0000-0000-00009F000000}"/>
    <cellStyle name="Tahoma:8:128" xfId="164" xr:uid="{00000000-0005-0000-0000-0000A0000000}"/>
    <cellStyle name="Tahoma:8:129" xfId="165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8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48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4"/>
  <sheetViews>
    <sheetView tabSelected="1" topLeftCell="A6" zoomScale="89" zoomScaleNormal="89" workbookViewId="0">
      <selection activeCell="H54" sqref="H54:K54"/>
    </sheetView>
  </sheetViews>
  <sheetFormatPr defaultColWidth="9.140625" defaultRowHeight="12"/>
  <cols>
    <col min="1" max="1" width="2" style="5" customWidth="1"/>
    <col min="2" max="2" width="21.85546875" style="5" bestFit="1" customWidth="1"/>
    <col min="3" max="3" width="11.42578125" style="5" customWidth="1"/>
    <col min="4" max="5" width="9.7109375" style="5" bestFit="1" customWidth="1"/>
    <col min="6" max="6" width="2" style="5" customWidth="1"/>
    <col min="7" max="7" width="11" style="5" bestFit="1" customWidth="1"/>
    <col min="8" max="11" width="10.5703125" style="5" bestFit="1" customWidth="1"/>
    <col min="12" max="12" width="9.140625" style="5"/>
    <col min="13" max="13" width="22.140625" style="5" bestFit="1" customWidth="1"/>
    <col min="14" max="16384" width="9.140625" style="5"/>
  </cols>
  <sheetData>
    <row r="1" spans="1:14" ht="15.75">
      <c r="A1" s="1"/>
      <c r="B1" s="4" t="s">
        <v>19</v>
      </c>
    </row>
    <row r="2" spans="1:14">
      <c r="G2" s="5" t="s">
        <v>83</v>
      </c>
    </row>
    <row r="3" spans="1:14">
      <c r="G3" s="63" t="s">
        <v>76</v>
      </c>
      <c r="H3" s="63" t="s">
        <v>79</v>
      </c>
    </row>
    <row r="4" spans="1:14" ht="48">
      <c r="C4" s="64" t="s">
        <v>95</v>
      </c>
      <c r="G4" s="63"/>
      <c r="H4" s="63"/>
    </row>
    <row r="5" spans="1:14">
      <c r="B5" s="5" t="s">
        <v>82</v>
      </c>
      <c r="C5" s="44">
        <v>3</v>
      </c>
      <c r="G5" s="63"/>
      <c r="H5" s="63"/>
    </row>
    <row r="6" spans="1:14">
      <c r="C6" s="59"/>
      <c r="G6" s="63" t="s">
        <v>77</v>
      </c>
      <c r="H6" s="63" t="s">
        <v>80</v>
      </c>
    </row>
    <row r="7" spans="1:14">
      <c r="C7" s="59"/>
      <c r="G7" s="63" t="s">
        <v>78</v>
      </c>
      <c r="H7" s="63" t="s">
        <v>81</v>
      </c>
    </row>
    <row r="8" spans="1:14">
      <c r="C8" s="59"/>
    </row>
    <row r="10" spans="1:14" ht="3.75" customHeight="1"/>
    <row r="11" spans="1:14" ht="24.75" thickBot="1">
      <c r="B11" s="15" t="s">
        <v>42</v>
      </c>
      <c r="C11" s="16" t="s">
        <v>54</v>
      </c>
      <c r="D11" s="16" t="s">
        <v>55</v>
      </c>
      <c r="E11" s="16" t="s">
        <v>56</v>
      </c>
      <c r="F11" s="19"/>
      <c r="G11" s="17" t="s">
        <v>57</v>
      </c>
      <c r="H11" s="17" t="s">
        <v>58</v>
      </c>
      <c r="I11" s="17" t="s">
        <v>59</v>
      </c>
      <c r="J11" s="17" t="s">
        <v>60</v>
      </c>
      <c r="K11" s="17" t="s">
        <v>61</v>
      </c>
    </row>
    <row r="12" spans="1:14">
      <c r="B12" s="5" t="s">
        <v>53</v>
      </c>
      <c r="C12" s="11">
        <f>'P&amp;L source'!D4</f>
        <v>177203</v>
      </c>
      <c r="D12" s="11">
        <f>'P&amp;L source'!E4</f>
        <v>188618</v>
      </c>
      <c r="E12" s="11">
        <f>'P&amp;L source'!F4</f>
        <v>208366</v>
      </c>
      <c r="G12" s="25">
        <f>E12*(1+G13)</f>
        <v>216700.64</v>
      </c>
      <c r="H12" s="25">
        <f>G12*(1+H13)</f>
        <v>225368.66560000004</v>
      </c>
      <c r="I12" s="25">
        <f t="shared" ref="I12:K12" si="0">H12*(1+I13)</f>
        <v>234383.41222400006</v>
      </c>
      <c r="J12" s="25">
        <f t="shared" si="0"/>
        <v>243758.74871296008</v>
      </c>
      <c r="K12" s="25">
        <f t="shared" si="0"/>
        <v>253509.09866147849</v>
      </c>
      <c r="N12" s="19"/>
    </row>
    <row r="13" spans="1:14">
      <c r="B13" s="5" t="s">
        <v>84</v>
      </c>
      <c r="C13" s="37"/>
      <c r="D13" s="23">
        <f>D12/C12-1</f>
        <v>6.4417645299458703E-2</v>
      </c>
      <c r="E13" s="23">
        <f>E12/D12-1</f>
        <v>0.10469838509580209</v>
      </c>
      <c r="G13" s="24">
        <f>CHOOSE($C$5,G14,G15,G16)</f>
        <v>0.04</v>
      </c>
      <c r="H13" s="24">
        <f t="shared" ref="H13:K13" si="1">CHOOSE($C$5,H14,H15,H16)</f>
        <v>0.04</v>
      </c>
      <c r="I13" s="24">
        <f t="shared" si="1"/>
        <v>0.04</v>
      </c>
      <c r="J13" s="24">
        <f t="shared" si="1"/>
        <v>0.04</v>
      </c>
      <c r="K13" s="24">
        <f t="shared" si="1"/>
        <v>0.04</v>
      </c>
    </row>
    <row r="14" spans="1:14">
      <c r="B14" s="5" t="s">
        <v>76</v>
      </c>
      <c r="C14" s="57"/>
      <c r="D14" s="57"/>
      <c r="E14" s="57"/>
      <c r="G14" s="24">
        <v>0.1</v>
      </c>
      <c r="H14" s="24">
        <v>0.1</v>
      </c>
      <c r="I14" s="24">
        <v>0.1</v>
      </c>
      <c r="J14" s="24">
        <v>0.1</v>
      </c>
      <c r="K14" s="24">
        <v>0.1</v>
      </c>
    </row>
    <row r="15" spans="1:14">
      <c r="B15" s="5" t="s">
        <v>77</v>
      </c>
      <c r="C15" s="57"/>
      <c r="D15" s="57"/>
      <c r="E15" s="57"/>
      <c r="G15" s="24">
        <v>0.08</v>
      </c>
      <c r="H15" s="24">
        <v>0.08</v>
      </c>
      <c r="I15" s="24">
        <v>0.08</v>
      </c>
      <c r="J15" s="24">
        <v>0.08</v>
      </c>
      <c r="K15" s="24">
        <v>0.08</v>
      </c>
    </row>
    <row r="16" spans="1:14">
      <c r="B16" s="5" t="s">
        <v>78</v>
      </c>
      <c r="C16" s="57"/>
      <c r="D16" s="57"/>
      <c r="E16" s="57"/>
      <c r="G16" s="24">
        <v>0.04</v>
      </c>
      <c r="H16" s="24">
        <v>0.04</v>
      </c>
      <c r="I16" s="24">
        <v>0.04</v>
      </c>
      <c r="J16" s="24">
        <v>0.04</v>
      </c>
      <c r="K16" s="24">
        <v>0.04</v>
      </c>
    </row>
    <row r="17" spans="2:11" ht="3.75" customHeight="1">
      <c r="G17" s="25"/>
      <c r="H17" s="25"/>
      <c r="I17" s="25"/>
      <c r="J17" s="25"/>
      <c r="K17" s="25"/>
    </row>
    <row r="18" spans="2:11">
      <c r="B18" s="5" t="s">
        <v>85</v>
      </c>
      <c r="C18" s="11">
        <f>'P&amp;L source'!D5</f>
        <v>3520</v>
      </c>
      <c r="D18" s="11">
        <f>'P&amp;L source'!E5</f>
        <v>2416</v>
      </c>
      <c r="E18" s="11">
        <f>'P&amp;L source'!F5</f>
        <v>2585</v>
      </c>
      <c r="G18" s="25">
        <f>E18*(1+G19)</f>
        <v>2585</v>
      </c>
      <c r="H18" s="25">
        <f>G18*(1+H19)</f>
        <v>2585</v>
      </c>
      <c r="I18" s="25">
        <f t="shared" ref="I18" si="2">H18*(1+I19)</f>
        <v>2585</v>
      </c>
      <c r="J18" s="25">
        <f t="shared" ref="J18" si="3">I18*(1+J19)</f>
        <v>2585</v>
      </c>
      <c r="K18" s="25">
        <f t="shared" ref="K18" si="4">J18*(1+K19)</f>
        <v>2585</v>
      </c>
    </row>
    <row r="19" spans="2:11">
      <c r="B19" s="5" t="s">
        <v>86</v>
      </c>
      <c r="C19" s="11"/>
      <c r="D19" s="22">
        <f>(D18/C18)-1</f>
        <v>-0.3136363636363636</v>
      </c>
      <c r="E19" s="22">
        <f>(E18/D18)-1</f>
        <v>6.9950331125827825E-2</v>
      </c>
      <c r="G19" s="24">
        <f>CHOOSE($C$5,G20,G21,G22)</f>
        <v>0</v>
      </c>
      <c r="H19" s="24">
        <f t="shared" ref="H19:K19" si="5">CHOOSE($C$5,H20,H21,H22)</f>
        <v>0</v>
      </c>
      <c r="I19" s="24">
        <f t="shared" si="5"/>
        <v>0</v>
      </c>
      <c r="J19" s="24">
        <f t="shared" si="5"/>
        <v>0</v>
      </c>
      <c r="K19" s="24">
        <f t="shared" si="5"/>
        <v>0</v>
      </c>
    </row>
    <row r="20" spans="2:11">
      <c r="B20" s="5" t="s">
        <v>87</v>
      </c>
      <c r="C20" s="57"/>
      <c r="D20" s="57"/>
      <c r="E20" s="57"/>
      <c r="G20" s="24">
        <v>0</v>
      </c>
      <c r="H20" s="24">
        <v>0</v>
      </c>
      <c r="I20" s="24">
        <v>0</v>
      </c>
      <c r="J20" s="24">
        <v>0</v>
      </c>
      <c r="K20" s="24">
        <v>0</v>
      </c>
    </row>
    <row r="21" spans="2:11">
      <c r="B21" s="5" t="s">
        <v>88</v>
      </c>
      <c r="C21" s="57"/>
      <c r="D21" s="57"/>
      <c r="E21" s="57"/>
      <c r="G21" s="24">
        <v>0</v>
      </c>
      <c r="H21" s="24">
        <v>0</v>
      </c>
      <c r="I21" s="24">
        <v>0</v>
      </c>
      <c r="J21" s="24">
        <v>0</v>
      </c>
      <c r="K21" s="24">
        <v>0</v>
      </c>
    </row>
    <row r="22" spans="2:11">
      <c r="B22" s="5" t="s">
        <v>89</v>
      </c>
      <c r="C22" s="57"/>
      <c r="D22" s="57"/>
      <c r="E22" s="57"/>
      <c r="G22" s="24">
        <v>0</v>
      </c>
      <c r="H22" s="24">
        <v>0</v>
      </c>
      <c r="I22" s="24">
        <v>0</v>
      </c>
      <c r="J22" s="24">
        <v>0</v>
      </c>
      <c r="K22" s="24">
        <v>0</v>
      </c>
    </row>
    <row r="23" spans="2:11" ht="3.75" customHeight="1">
      <c r="C23" s="11"/>
      <c r="D23" s="11"/>
      <c r="E23" s="11"/>
      <c r="G23" s="25"/>
      <c r="H23" s="25"/>
      <c r="I23" s="25"/>
      <c r="J23" s="25"/>
      <c r="K23" s="25"/>
    </row>
    <row r="24" spans="2:11">
      <c r="B24" s="5" t="s">
        <v>90</v>
      </c>
      <c r="C24" s="11">
        <f>'P&amp;L source'!D8+'P&amp;L source'!D9</f>
        <v>-142394.36746666671</v>
      </c>
      <c r="D24" s="11">
        <f>'P&amp;L source'!E8+'P&amp;L source'!E9</f>
        <v>-150572.16639999999</v>
      </c>
      <c r="E24" s="11">
        <f>'P&amp;L source'!F8+'P&amp;L source'!F9</f>
        <v>-157523.118425397</v>
      </c>
      <c r="G24" s="40">
        <f>G25*G12</f>
        <v>-173360.51200000002</v>
      </c>
      <c r="H24" s="40">
        <f t="shared" ref="H24:K24" si="6">H25*H12</f>
        <v>-180294.93248000005</v>
      </c>
      <c r="I24" s="40">
        <f t="shared" si="6"/>
        <v>-187506.72977920005</v>
      </c>
      <c r="J24" s="40">
        <f t="shared" si="6"/>
        <v>-195006.99897036806</v>
      </c>
      <c r="K24" s="40">
        <f t="shared" si="6"/>
        <v>-202807.27892918279</v>
      </c>
    </row>
    <row r="25" spans="2:11">
      <c r="B25" s="5" t="s">
        <v>91</v>
      </c>
      <c r="C25" s="22">
        <f>C24/C12</f>
        <v>-0.8035663474470901</v>
      </c>
      <c r="D25" s="22">
        <f t="shared" ref="D25:E25" si="7">D24/D12</f>
        <v>-0.79829160737575411</v>
      </c>
      <c r="E25" s="22">
        <f t="shared" si="7"/>
        <v>-0.75599242882906514</v>
      </c>
      <c r="G25" s="24">
        <f>CHOOSE($C$5,G26,G27,G28)</f>
        <v>-0.8</v>
      </c>
      <c r="H25" s="24">
        <f t="shared" ref="H25:K25" si="8">CHOOSE($C$5,H26,H27,H28)</f>
        <v>-0.8</v>
      </c>
      <c r="I25" s="24">
        <f t="shared" si="8"/>
        <v>-0.8</v>
      </c>
      <c r="J25" s="24">
        <f t="shared" si="8"/>
        <v>-0.8</v>
      </c>
      <c r="K25" s="24">
        <f t="shared" si="8"/>
        <v>-0.8</v>
      </c>
    </row>
    <row r="26" spans="2:11">
      <c r="B26" s="5" t="s">
        <v>87</v>
      </c>
      <c r="C26" s="57"/>
      <c r="D26" s="57"/>
      <c r="E26" s="57"/>
      <c r="G26" s="24">
        <v>-0.76</v>
      </c>
      <c r="H26" s="24">
        <v>-0.76</v>
      </c>
      <c r="I26" s="24">
        <v>-0.76</v>
      </c>
      <c r="J26" s="24">
        <v>-0.76</v>
      </c>
      <c r="K26" s="24">
        <v>-0.76</v>
      </c>
    </row>
    <row r="27" spans="2:11">
      <c r="B27" s="5" t="s">
        <v>88</v>
      </c>
      <c r="C27" s="57"/>
      <c r="D27" s="57"/>
      <c r="E27" s="57"/>
      <c r="G27" s="24">
        <v>-0.78</v>
      </c>
      <c r="H27" s="24">
        <v>-0.78</v>
      </c>
      <c r="I27" s="24">
        <v>-0.78</v>
      </c>
      <c r="J27" s="24">
        <v>-0.78</v>
      </c>
      <c r="K27" s="24">
        <v>-0.78</v>
      </c>
    </row>
    <row r="28" spans="2:11" ht="12" customHeight="1">
      <c r="B28" s="5" t="s">
        <v>89</v>
      </c>
      <c r="C28" s="57"/>
      <c r="D28" s="57"/>
      <c r="E28" s="57"/>
      <c r="G28" s="24">
        <v>-0.8</v>
      </c>
      <c r="H28" s="24">
        <v>-0.8</v>
      </c>
      <c r="I28" s="24">
        <v>-0.8</v>
      </c>
      <c r="J28" s="24">
        <v>-0.8</v>
      </c>
      <c r="K28" s="24">
        <v>-0.8</v>
      </c>
    </row>
    <row r="29" spans="2:11" ht="3.75" customHeight="1">
      <c r="C29" s="11"/>
      <c r="D29" s="11"/>
      <c r="E29" s="11"/>
      <c r="G29" s="25"/>
      <c r="H29" s="25"/>
      <c r="I29" s="25"/>
      <c r="J29" s="25"/>
      <c r="K29" s="25"/>
    </row>
    <row r="30" spans="2:11" ht="12" customHeight="1">
      <c r="B30" s="5" t="s">
        <v>92</v>
      </c>
      <c r="C30" s="11">
        <f>'P&amp;L source'!D10+'P&amp;L source'!D11+'P&amp;L source'!D12</f>
        <v>-18011.315200000005</v>
      </c>
      <c r="D30" s="11">
        <f>'P&amp;L source'!E10+'P&amp;L source'!E11+'P&amp;L source'!E12</f>
        <v>-19247.897599999997</v>
      </c>
      <c r="E30" s="11">
        <f>'P&amp;L source'!F10+'P&amp;L source'!F11+'P&amp;L source'!F12</f>
        <v>-23867.008000000009</v>
      </c>
      <c r="G30" s="40">
        <f>G12*G31</f>
        <v>-23837.070400000001</v>
      </c>
      <c r="H30" s="40">
        <f t="shared" ref="H30:K30" si="9">H12*H31</f>
        <v>-24790.553216000004</v>
      </c>
      <c r="I30" s="40">
        <f t="shared" si="9"/>
        <v>-25782.175344640007</v>
      </c>
      <c r="J30" s="40">
        <f t="shared" si="9"/>
        <v>-26813.462358425608</v>
      </c>
      <c r="K30" s="40">
        <f t="shared" si="9"/>
        <v>-27886.000852762634</v>
      </c>
    </row>
    <row r="31" spans="2:11" ht="12" customHeight="1">
      <c r="B31" s="5" t="s">
        <v>91</v>
      </c>
      <c r="C31" s="23">
        <f>C30/$C$12</f>
        <v>-0.10164227016472635</v>
      </c>
      <c r="D31" s="23">
        <f t="shared" ref="D31:E31" si="10">D30/D12</f>
        <v>-0.10204698173026963</v>
      </c>
      <c r="E31" s="23">
        <f t="shared" si="10"/>
        <v>-0.11454367795129727</v>
      </c>
      <c r="G31" s="24">
        <f>CHOOSE($C$5,G32,G33,G34)</f>
        <v>-0.11</v>
      </c>
      <c r="H31" s="24">
        <f t="shared" ref="H31:K31" si="11">CHOOSE($C$5,H32,H33,H34)</f>
        <v>-0.11</v>
      </c>
      <c r="I31" s="24">
        <f t="shared" si="11"/>
        <v>-0.11</v>
      </c>
      <c r="J31" s="24">
        <f t="shared" si="11"/>
        <v>-0.11</v>
      </c>
      <c r="K31" s="24">
        <f t="shared" si="11"/>
        <v>-0.11</v>
      </c>
    </row>
    <row r="32" spans="2:11" ht="12" customHeight="1">
      <c r="B32" s="5" t="s">
        <v>87</v>
      </c>
      <c r="C32" s="57"/>
      <c r="D32" s="57"/>
      <c r="E32" s="57"/>
      <c r="G32" s="24">
        <v>-0.1</v>
      </c>
      <c r="H32" s="24">
        <v>-0.1</v>
      </c>
      <c r="I32" s="24">
        <v>-0.1</v>
      </c>
      <c r="J32" s="24">
        <v>-0.1</v>
      </c>
      <c r="K32" s="24">
        <v>-0.1</v>
      </c>
    </row>
    <row r="33" spans="2:11" ht="12" customHeight="1">
      <c r="B33" s="5" t="s">
        <v>88</v>
      </c>
      <c r="C33" s="57"/>
      <c r="D33" s="57"/>
      <c r="E33" s="57"/>
      <c r="G33" s="24">
        <v>-0.105</v>
      </c>
      <c r="H33" s="24">
        <v>-0.105</v>
      </c>
      <c r="I33" s="24">
        <v>-0.105</v>
      </c>
      <c r="J33" s="24">
        <v>-0.105</v>
      </c>
      <c r="K33" s="24">
        <v>-0.105</v>
      </c>
    </row>
    <row r="34" spans="2:11" ht="12" customHeight="1">
      <c r="B34" s="5" t="s">
        <v>89</v>
      </c>
      <c r="C34" s="57"/>
      <c r="D34" s="57"/>
      <c r="E34" s="57"/>
      <c r="G34" s="24">
        <v>-0.11</v>
      </c>
      <c r="H34" s="24">
        <v>-0.11</v>
      </c>
      <c r="I34" s="24">
        <v>-0.11</v>
      </c>
      <c r="J34" s="24">
        <v>-0.11</v>
      </c>
      <c r="K34" s="24">
        <v>-0.11</v>
      </c>
    </row>
    <row r="35" spans="2:11" ht="3.75" customHeight="1">
      <c r="C35" s="11"/>
      <c r="D35" s="11"/>
      <c r="E35" s="11"/>
      <c r="G35" s="24"/>
      <c r="H35" s="24"/>
      <c r="I35" s="24"/>
      <c r="J35" s="24"/>
      <c r="K35" s="24"/>
    </row>
    <row r="36" spans="2:11">
      <c r="B36" s="5" t="s">
        <v>12</v>
      </c>
      <c r="C36" s="11">
        <f>'P&amp;L source'!D16</f>
        <v>-2907.8000000000006</v>
      </c>
      <c r="D36" s="11">
        <f>'P&amp;L source'!E16</f>
        <v>-4649.8</v>
      </c>
      <c r="E36" s="11">
        <f>'P&amp;L source'!F16</f>
        <v>-6430.6600000000008</v>
      </c>
      <c r="G36" s="40">
        <f>G$12*G37</f>
        <v>-6501.0191999999997</v>
      </c>
      <c r="H36" s="40">
        <f>H$12*H37</f>
        <v>-6761.0599680000005</v>
      </c>
      <c r="I36" s="40">
        <f t="shared" ref="I36:K36" si="12">I$12*I37</f>
        <v>-7031.5023667200012</v>
      </c>
      <c r="J36" s="40">
        <f t="shared" si="12"/>
        <v>-7312.762461388802</v>
      </c>
      <c r="K36" s="40">
        <f t="shared" si="12"/>
        <v>-7605.2729598443548</v>
      </c>
    </row>
    <row r="37" spans="2:11">
      <c r="B37" s="5" t="s">
        <v>91</v>
      </c>
      <c r="C37" s="22">
        <f t="shared" ref="C37:D37" si="13">C36/$C$12</f>
        <v>-1.6409428734276511E-2</v>
      </c>
      <c r="D37" s="22">
        <f t="shared" si="13"/>
        <v>-2.6239962077391467E-2</v>
      </c>
      <c r="E37" s="22">
        <f>E36/$C$12</f>
        <v>-3.6289791933545146E-2</v>
      </c>
      <c r="G37" s="24">
        <f>CHOOSE($C$5,G38,G39,G40)</f>
        <v>-0.03</v>
      </c>
      <c r="H37" s="24">
        <f t="shared" ref="H37:K37" si="14">CHOOSE($C$5,H38,H39,H40)</f>
        <v>-0.03</v>
      </c>
      <c r="I37" s="24">
        <f t="shared" si="14"/>
        <v>-0.03</v>
      </c>
      <c r="J37" s="24">
        <f t="shared" si="14"/>
        <v>-0.03</v>
      </c>
      <c r="K37" s="24">
        <f t="shared" si="14"/>
        <v>-0.03</v>
      </c>
    </row>
    <row r="38" spans="2:11">
      <c r="B38" s="5" t="s">
        <v>87</v>
      </c>
      <c r="C38" s="57"/>
      <c r="D38" s="57"/>
      <c r="E38" s="57"/>
      <c r="G38" s="24">
        <v>-0.02</v>
      </c>
      <c r="H38" s="24">
        <v>-0.02</v>
      </c>
      <c r="I38" s="24">
        <v>-0.02</v>
      </c>
      <c r="J38" s="24">
        <v>-0.02</v>
      </c>
      <c r="K38" s="24">
        <v>-0.02</v>
      </c>
    </row>
    <row r="39" spans="2:11">
      <c r="B39" s="5" t="s">
        <v>88</v>
      </c>
      <c r="C39" s="57"/>
      <c r="D39" s="57"/>
      <c r="E39" s="57"/>
      <c r="G39" s="24">
        <v>-2.5000000000000001E-2</v>
      </c>
      <c r="H39" s="24">
        <v>-2.5000000000000001E-2</v>
      </c>
      <c r="I39" s="24">
        <v>-2.5000000000000001E-2</v>
      </c>
      <c r="J39" s="24">
        <v>-2.5000000000000001E-2</v>
      </c>
      <c r="K39" s="24">
        <v>-2.5000000000000001E-2</v>
      </c>
    </row>
    <row r="40" spans="2:11" ht="12" customHeight="1">
      <c r="B40" s="5" t="s">
        <v>89</v>
      </c>
      <c r="C40" s="57"/>
      <c r="D40" s="57"/>
      <c r="E40" s="57"/>
      <c r="G40" s="24">
        <v>-0.03</v>
      </c>
      <c r="H40" s="24">
        <v>-0.03</v>
      </c>
      <c r="I40" s="24">
        <v>-0.03</v>
      </c>
      <c r="J40" s="24">
        <v>-0.03</v>
      </c>
      <c r="K40" s="24">
        <v>-0.03</v>
      </c>
    </row>
    <row r="41" spans="2:11" ht="3.75" customHeight="1">
      <c r="C41" s="11"/>
      <c r="D41" s="11"/>
      <c r="E41" s="11"/>
      <c r="G41" s="24"/>
      <c r="H41" s="24"/>
      <c r="I41" s="24"/>
      <c r="J41" s="24"/>
      <c r="K41" s="24"/>
    </row>
    <row r="42" spans="2:11" ht="12" customHeight="1">
      <c r="B42" s="5" t="s">
        <v>93</v>
      </c>
      <c r="C42" s="11">
        <f>'P&amp;L source'!D20</f>
        <v>-1266.3000000000002</v>
      </c>
      <c r="D42" s="11">
        <f>'P&amp;L source'!E20</f>
        <v>-2190.9</v>
      </c>
      <c r="E42" s="11">
        <f>'P&amp;L source'!F20</f>
        <v>-2663.92</v>
      </c>
      <c r="G42" s="47">
        <f>E42*(1+G43)</f>
        <v>-4635.2208000000001</v>
      </c>
      <c r="H42" s="47">
        <f>G42*(1+H43)</f>
        <v>-8065.2841920000001</v>
      </c>
      <c r="I42" s="47">
        <f t="shared" ref="I42:K42" si="15">H42*(1+I43)</f>
        <v>-14033.59449408</v>
      </c>
      <c r="J42" s="47">
        <f t="shared" si="15"/>
        <v>-24418.454419699199</v>
      </c>
      <c r="K42" s="47">
        <f t="shared" si="15"/>
        <v>-42488.110690276604</v>
      </c>
    </row>
    <row r="43" spans="2:11" ht="12" customHeight="1">
      <c r="B43" s="5" t="s">
        <v>86</v>
      </c>
      <c r="C43" s="58"/>
      <c r="D43" s="39">
        <f>(D42/C42)-1</f>
        <v>0.73015873015873001</v>
      </c>
      <c r="E43" s="39">
        <f>(E42/D42)-1</f>
        <v>0.21590214067278279</v>
      </c>
      <c r="G43" s="24">
        <f>CHOOSE($C$5,G44,G45,G46)</f>
        <v>0.74</v>
      </c>
      <c r="H43" s="24">
        <f t="shared" ref="H43:K43" si="16">CHOOSE($C$5,H44,H45,H46)</f>
        <v>0.74</v>
      </c>
      <c r="I43" s="24">
        <f t="shared" si="16"/>
        <v>0.74</v>
      </c>
      <c r="J43" s="24">
        <f t="shared" si="16"/>
        <v>0.74</v>
      </c>
      <c r="K43" s="24">
        <f t="shared" si="16"/>
        <v>0.74</v>
      </c>
    </row>
    <row r="44" spans="2:11" ht="12" customHeight="1">
      <c r="B44" s="5" t="s">
        <v>87</v>
      </c>
      <c r="C44" s="57"/>
      <c r="D44" s="57"/>
      <c r="E44" s="57"/>
      <c r="G44" s="24">
        <v>0.21</v>
      </c>
      <c r="H44" s="24">
        <v>0.21</v>
      </c>
      <c r="I44" s="24">
        <v>0.21</v>
      </c>
      <c r="J44" s="24">
        <v>0.21</v>
      </c>
      <c r="K44" s="24">
        <v>0.21</v>
      </c>
    </row>
    <row r="45" spans="2:11" ht="12" customHeight="1">
      <c r="B45" s="5" t="s">
        <v>88</v>
      </c>
      <c r="C45" s="57"/>
      <c r="D45" s="57"/>
      <c r="E45" s="57"/>
      <c r="G45" s="24">
        <v>0.21</v>
      </c>
      <c r="H45" s="24">
        <v>0.21</v>
      </c>
      <c r="I45" s="24">
        <v>0.21</v>
      </c>
      <c r="J45" s="24">
        <v>0.21</v>
      </c>
      <c r="K45" s="24">
        <v>0.21</v>
      </c>
    </row>
    <row r="46" spans="2:11" ht="12" customHeight="1">
      <c r="B46" s="5" t="s">
        <v>89</v>
      </c>
      <c r="C46" s="57"/>
      <c r="D46" s="57"/>
      <c r="E46" s="57"/>
      <c r="G46" s="24">
        <v>0.74</v>
      </c>
      <c r="H46" s="24">
        <v>0.74</v>
      </c>
      <c r="I46" s="24">
        <v>0.74</v>
      </c>
      <c r="J46" s="24">
        <v>0.74</v>
      </c>
      <c r="K46" s="24">
        <v>0.74</v>
      </c>
    </row>
    <row r="47" spans="2:11" ht="3.75" customHeight="1">
      <c r="C47" s="11"/>
      <c r="D47" s="11"/>
      <c r="E47" s="11"/>
      <c r="G47" s="24"/>
      <c r="H47" s="24"/>
      <c r="I47" s="24"/>
      <c r="J47" s="24"/>
      <c r="K47" s="24"/>
    </row>
    <row r="48" spans="2:11" ht="12" customHeight="1">
      <c r="B48" s="5" t="s">
        <v>15</v>
      </c>
      <c r="C48" s="11">
        <f>'P&amp;L source'!D21</f>
        <v>-317.58000000000004</v>
      </c>
      <c r="D48" s="11">
        <f>'P&amp;L source'!E21</f>
        <v>-864.30000000000007</v>
      </c>
      <c r="E48" s="11">
        <f>'P&amp;L source'!F21</f>
        <v>-320.26</v>
      </c>
      <c r="G48" s="40">
        <f>G$12*G49</f>
        <v>216.70064000000002</v>
      </c>
      <c r="H48" s="40">
        <f t="shared" ref="H48:K48" si="17">H$12*H49</f>
        <v>225.36866560000004</v>
      </c>
      <c r="I48" s="40">
        <f t="shared" si="17"/>
        <v>234.38341222400007</v>
      </c>
      <c r="J48" s="40">
        <f t="shared" si="17"/>
        <v>243.75874871296008</v>
      </c>
      <c r="K48" s="40">
        <f t="shared" si="17"/>
        <v>253.5090986614785</v>
      </c>
    </row>
    <row r="49" spans="2:11" ht="12" customHeight="1">
      <c r="B49" s="5" t="s">
        <v>91</v>
      </c>
      <c r="C49" s="60">
        <f>C48/$C$12</f>
        <v>-1.7921818479371119E-3</v>
      </c>
      <c r="D49" s="60">
        <f t="shared" ref="D49:E49" si="18">D48/$C$12</f>
        <v>-4.8774569279301143E-3</v>
      </c>
      <c r="E49" s="60">
        <f t="shared" si="18"/>
        <v>-1.8073057453880576E-3</v>
      </c>
      <c r="G49" s="24">
        <f>CHOOSE($C$5,G50,G51,G52)</f>
        <v>1E-3</v>
      </c>
      <c r="H49" s="24">
        <f t="shared" ref="H49:K49" si="19">CHOOSE($C$5,H50,H51,H52)</f>
        <v>1E-3</v>
      </c>
      <c r="I49" s="24">
        <f t="shared" si="19"/>
        <v>1E-3</v>
      </c>
      <c r="J49" s="24">
        <f t="shared" si="19"/>
        <v>1E-3</v>
      </c>
      <c r="K49" s="24">
        <f t="shared" si="19"/>
        <v>1E-3</v>
      </c>
    </row>
    <row r="50" spans="2:11" ht="12" customHeight="1">
      <c r="B50" s="5" t="s">
        <v>87</v>
      </c>
      <c r="C50" s="57"/>
      <c r="D50" s="57"/>
      <c r="E50" s="57"/>
      <c r="G50" s="61">
        <v>5.4999999999999997E-3</v>
      </c>
      <c r="H50" s="61">
        <v>5.4999999999999997E-3</v>
      </c>
      <c r="I50" s="61">
        <v>5.4999999999999997E-3</v>
      </c>
      <c r="J50" s="61">
        <v>5.4999999999999997E-3</v>
      </c>
      <c r="K50" s="61">
        <v>5.4999999999999997E-3</v>
      </c>
    </row>
    <row r="51" spans="2:11" ht="12" customHeight="1">
      <c r="B51" s="5" t="s">
        <v>88</v>
      </c>
      <c r="C51" s="57"/>
      <c r="D51" s="57"/>
      <c r="E51" s="57"/>
      <c r="G51" s="61">
        <v>1.8E-3</v>
      </c>
      <c r="H51" s="61">
        <v>1.8E-3</v>
      </c>
      <c r="I51" s="61">
        <v>1.8E-3</v>
      </c>
      <c r="J51" s="61">
        <v>1.8E-3</v>
      </c>
      <c r="K51" s="61">
        <v>1.8E-3</v>
      </c>
    </row>
    <row r="52" spans="2:11" ht="12" customHeight="1">
      <c r="B52" s="5" t="s">
        <v>89</v>
      </c>
      <c r="C52" s="57"/>
      <c r="D52" s="57"/>
      <c r="E52" s="57"/>
      <c r="G52" s="61">
        <v>1E-3</v>
      </c>
      <c r="H52" s="61">
        <v>1E-3</v>
      </c>
      <c r="I52" s="61">
        <v>1E-3</v>
      </c>
      <c r="J52" s="61">
        <v>1E-3</v>
      </c>
      <c r="K52" s="61">
        <v>1E-3</v>
      </c>
    </row>
    <row r="53" spans="2:11" ht="3.75" customHeight="1">
      <c r="C53" s="11"/>
      <c r="D53" s="11"/>
      <c r="E53" s="11"/>
      <c r="G53" s="24"/>
      <c r="H53" s="24"/>
      <c r="I53" s="24"/>
      <c r="J53" s="24"/>
      <c r="K53" s="24"/>
    </row>
    <row r="54" spans="2:11">
      <c r="B54" s="5" t="s">
        <v>17</v>
      </c>
      <c r="C54" s="11">
        <f>'P&amp;L source'!D25</f>
        <v>-3805.7759999999998</v>
      </c>
      <c r="D54" s="11">
        <f>'P&amp;L source'!E25</f>
        <v>-3050.192</v>
      </c>
      <c r="E54" s="11">
        <f>'P&amp;L source'!F25</f>
        <v>-3814.88</v>
      </c>
      <c r="G54" s="62">
        <f>E54*(1-G55)</f>
        <v>-4654.1535999999996</v>
      </c>
      <c r="H54" s="62">
        <f>G54*(1-H55)</f>
        <v>-5678.067391999999</v>
      </c>
      <c r="I54" s="62">
        <f t="shared" ref="I54:K54" si="20">H54*(1-I55)</f>
        <v>-6927.2422182399987</v>
      </c>
      <c r="J54" s="62">
        <f t="shared" si="20"/>
        <v>-8451.2355062527986</v>
      </c>
      <c r="K54" s="62">
        <f t="shared" si="20"/>
        <v>-10310.507317628413</v>
      </c>
    </row>
    <row r="55" spans="2:11">
      <c r="B55" s="5" t="s">
        <v>94</v>
      </c>
      <c r="C55" s="22">
        <f>C54/'P&amp;L source'!D23</f>
        <v>-0.2404816892893126</v>
      </c>
      <c r="D55" s="22">
        <f>D54/'P&amp;L source'!E23</f>
        <v>-0.22579069143565386</v>
      </c>
      <c r="E55" s="22">
        <f>E54/'P&amp;L source'!F23</f>
        <v>-0.18936134430001197</v>
      </c>
      <c r="G55" s="24">
        <f>CHOOSE($C$5,G56,G57,G58)</f>
        <v>-0.22</v>
      </c>
      <c r="H55" s="24">
        <f t="shared" ref="H55:K55" si="21">CHOOSE($C$5,H56,H57,H58)</f>
        <v>-0.22</v>
      </c>
      <c r="I55" s="24">
        <f t="shared" si="21"/>
        <v>-0.22</v>
      </c>
      <c r="J55" s="24">
        <f t="shared" si="21"/>
        <v>-0.22</v>
      </c>
      <c r="K55" s="24">
        <f t="shared" si="21"/>
        <v>-0.22</v>
      </c>
    </row>
    <row r="56" spans="2:11">
      <c r="B56" s="5" t="s">
        <v>87</v>
      </c>
      <c r="C56" s="57"/>
      <c r="D56" s="57"/>
      <c r="E56" s="57"/>
      <c r="G56" s="24">
        <v>-0.18</v>
      </c>
      <c r="H56" s="24">
        <v>-0.18</v>
      </c>
      <c r="I56" s="24">
        <v>-0.18</v>
      </c>
      <c r="J56" s="24">
        <v>-0.18</v>
      </c>
      <c r="K56" s="24">
        <v>-0.18</v>
      </c>
    </row>
    <row r="57" spans="2:11">
      <c r="B57" s="5" t="s">
        <v>88</v>
      </c>
      <c r="C57" s="57"/>
      <c r="D57" s="57"/>
      <c r="E57" s="57"/>
      <c r="G57" s="24">
        <v>-0.2</v>
      </c>
      <c r="H57" s="24">
        <v>-0.2</v>
      </c>
      <c r="I57" s="24">
        <v>-0.2</v>
      </c>
      <c r="J57" s="24">
        <v>-0.2</v>
      </c>
      <c r="K57" s="24">
        <v>-0.2</v>
      </c>
    </row>
    <row r="58" spans="2:11">
      <c r="B58" s="5" t="s">
        <v>89</v>
      </c>
      <c r="C58" s="57"/>
      <c r="D58" s="57"/>
      <c r="E58" s="57"/>
      <c r="G58" s="24">
        <v>-0.22</v>
      </c>
      <c r="H58" s="24">
        <v>-0.22</v>
      </c>
      <c r="I58" s="24">
        <v>-0.22</v>
      </c>
      <c r="J58" s="24">
        <v>-0.22</v>
      </c>
      <c r="K58" s="24">
        <v>-0.22</v>
      </c>
    </row>
    <row r="60" spans="2:11">
      <c r="G60" s="38"/>
      <c r="H60" s="38"/>
      <c r="I60" s="38"/>
      <c r="J60" s="38"/>
      <c r="K60" s="38"/>
    </row>
    <row r="61" spans="2:11">
      <c r="G61" s="22"/>
      <c r="H61" s="22"/>
      <c r="I61" s="22"/>
      <c r="J61" s="22"/>
      <c r="K61" s="22"/>
    </row>
    <row r="62" spans="2:11">
      <c r="G62" s="22"/>
      <c r="H62" s="22"/>
      <c r="I62" s="22"/>
      <c r="J62" s="22"/>
      <c r="K62" s="22"/>
    </row>
    <row r="63" spans="2:11">
      <c r="G63" s="22"/>
      <c r="H63" s="22"/>
      <c r="I63" s="22"/>
      <c r="J63" s="22"/>
      <c r="K63" s="22"/>
    </row>
    <row r="64" spans="2:11">
      <c r="G64" s="22"/>
      <c r="H64" s="22"/>
      <c r="I64" s="22"/>
      <c r="J64" s="22"/>
      <c r="K64" s="2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zoomScale="130" zoomScaleNormal="130" workbookViewId="0">
      <selection activeCell="G20" sqref="G20:K20"/>
    </sheetView>
  </sheetViews>
  <sheetFormatPr defaultColWidth="9.140625" defaultRowHeight="12"/>
  <cols>
    <col min="1" max="1" width="2" style="5" customWidth="1"/>
    <col min="2" max="2" width="17.28515625" style="5" customWidth="1"/>
    <col min="3" max="4" width="9.140625" style="5"/>
    <col min="5" max="5" width="10" style="5" bestFit="1" customWidth="1"/>
    <col min="6" max="6" width="2" style="5" customWidth="1"/>
    <col min="7" max="7" width="11" style="5" bestFit="1" customWidth="1"/>
    <col min="8" max="16384" width="9.140625" style="5"/>
  </cols>
  <sheetData>
    <row r="1" spans="2:11" ht="15.75">
      <c r="B1" s="4" t="s">
        <v>20</v>
      </c>
    </row>
    <row r="3" spans="2:11" ht="3.75" customHeight="1"/>
    <row r="4" spans="2:11" ht="24.75" thickBot="1">
      <c r="B4" s="15" t="s">
        <v>42</v>
      </c>
      <c r="C4" s="16" t="s">
        <v>62</v>
      </c>
      <c r="D4" s="16" t="s">
        <v>63</v>
      </c>
      <c r="E4" s="16" t="s">
        <v>64</v>
      </c>
      <c r="F4" s="19"/>
      <c r="G4" s="17" t="s">
        <v>65</v>
      </c>
      <c r="H4" s="17" t="s">
        <v>66</v>
      </c>
      <c r="I4" s="17" t="s">
        <v>67</v>
      </c>
      <c r="J4" s="17" t="s">
        <v>68</v>
      </c>
      <c r="K4" s="17" t="s">
        <v>69</v>
      </c>
    </row>
    <row r="5" spans="2:11">
      <c r="B5" s="5" t="s">
        <v>96</v>
      </c>
      <c r="C5" s="11">
        <v>32884</v>
      </c>
      <c r="D5" s="11">
        <v>38556</v>
      </c>
      <c r="E5" s="11">
        <v>43582</v>
      </c>
      <c r="G5" s="25">
        <f>G6*'P&amp;L assumptions'!G12/360</f>
        <v>45325.279999999999</v>
      </c>
      <c r="H5" s="25">
        <f>H6*'P&amp;L assumptions'!H12/360</f>
        <v>47138.291200000007</v>
      </c>
      <c r="I5" s="25">
        <f>I6*'P&amp;L assumptions'!I12/360</f>
        <v>49023.822848000018</v>
      </c>
      <c r="J5" s="25">
        <f>J6*'P&amp;L assumptions'!J12/360</f>
        <v>50984.77576192002</v>
      </c>
      <c r="K5" s="25">
        <f>K6*'P&amp;L assumptions'!K12/360</f>
        <v>53024.16679239682</v>
      </c>
    </row>
    <row r="6" spans="2:11">
      <c r="B6" s="14" t="s">
        <v>97</v>
      </c>
      <c r="C6" s="14">
        <f>C5/'P&amp;L assumptions'!C12*360</f>
        <v>66.806092447644787</v>
      </c>
      <c r="D6" s="14">
        <f>D5/'P&amp;L assumptions'!D12*360</f>
        <v>73.588734903349632</v>
      </c>
      <c r="E6" s="14">
        <f>E5/'P&amp;L assumptions'!E12*360</f>
        <v>75.297889290959176</v>
      </c>
      <c r="G6" s="42">
        <v>75.297889290959176</v>
      </c>
      <c r="H6" s="42">
        <v>75.297889290959176</v>
      </c>
      <c r="I6" s="42">
        <v>75.297889290959176</v>
      </c>
      <c r="J6" s="42">
        <v>75.297889290959176</v>
      </c>
      <c r="K6" s="42">
        <v>75.297889290959176</v>
      </c>
    </row>
    <row r="7" spans="2:11">
      <c r="C7" s="11"/>
      <c r="D7" s="11"/>
      <c r="E7" s="11"/>
      <c r="G7" s="18"/>
      <c r="H7" s="18"/>
      <c r="I7" s="18"/>
      <c r="J7" s="18"/>
      <c r="K7" s="18"/>
    </row>
    <row r="8" spans="2:11">
      <c r="B8" s="5" t="s">
        <v>24</v>
      </c>
      <c r="C8" s="11">
        <v>31167</v>
      </c>
      <c r="D8" s="11">
        <v>36397</v>
      </c>
      <c r="E8" s="11">
        <v>46212</v>
      </c>
      <c r="G8" s="25">
        <f>-G9*'P&amp;L assumptions'!G24/300</f>
        <v>61029.792152101196</v>
      </c>
      <c r="H8" s="25">
        <f>-H9*'P&amp;L assumptions'!H24/300</f>
        <v>63470.983838185261</v>
      </c>
      <c r="I8" s="25">
        <f>-I9*'P&amp;L assumptions'!I24/300</f>
        <v>66009.823191712654</v>
      </c>
      <c r="J8" s="25">
        <f>-J9*'P&amp;L assumptions'!J24/300</f>
        <v>68650.216119381177</v>
      </c>
      <c r="K8" s="25">
        <f>-K9*'P&amp;L assumptions'!K24/300</f>
        <v>71396.224764156432</v>
      </c>
    </row>
    <row r="9" spans="2:11">
      <c r="B9" s="14" t="s">
        <v>98</v>
      </c>
      <c r="C9" s="14">
        <f>-C8/'P&amp;L assumptions'!C$24*360</f>
        <v>78.796094253001499</v>
      </c>
      <c r="D9" s="14">
        <f>-D8/'P&amp;L assumptions'!D$24*360</f>
        <v>87.020863903835036</v>
      </c>
      <c r="E9" s="14">
        <f>-E8/'P&amp;L assumptions'!E$24*360</f>
        <v>105.61192646702818</v>
      </c>
      <c r="G9" s="42">
        <v>105.61192646702818</v>
      </c>
      <c r="H9" s="42">
        <v>105.61192646702818</v>
      </c>
      <c r="I9" s="42">
        <v>105.61192646702818</v>
      </c>
      <c r="J9" s="42">
        <v>105.61192646702818</v>
      </c>
      <c r="K9" s="42">
        <v>105.61192646702818</v>
      </c>
    </row>
    <row r="10" spans="2:11">
      <c r="C10" s="11"/>
      <c r="D10" s="11"/>
      <c r="E10" s="11"/>
      <c r="G10" s="18"/>
      <c r="H10" s="18"/>
      <c r="I10" s="18"/>
      <c r="J10" s="18"/>
      <c r="K10" s="18"/>
    </row>
    <row r="11" spans="2:11">
      <c r="B11" s="5" t="s">
        <v>99</v>
      </c>
      <c r="C11" s="11">
        <v>15891</v>
      </c>
      <c r="D11" s="11">
        <v>26352</v>
      </c>
      <c r="E11" s="11">
        <v>36190</v>
      </c>
      <c r="G11" s="25">
        <f>-G12*'P&amp;L assumptions'!G24/300</f>
        <v>47794.256426567605</v>
      </c>
      <c r="H11" s="25">
        <f>-H12*'P&amp;L assumptions'!H24/300</f>
        <v>49706.026683630313</v>
      </c>
      <c r="I11" s="25">
        <f>-I12*'P&amp;L assumptions'!I24/300</f>
        <v>51694.26775097553</v>
      </c>
      <c r="J11" s="25">
        <f>-J12*'P&amp;L assumptions'!J24/300</f>
        <v>53762.038461014556</v>
      </c>
      <c r="K11" s="25">
        <f>-K12*'P&amp;L assumptions'!K24/300</f>
        <v>55912.519999455129</v>
      </c>
    </row>
    <row r="12" spans="2:11">
      <c r="B12" s="14" t="s">
        <v>100</v>
      </c>
      <c r="C12" s="14">
        <f>-C11/'P&amp;L assumptions'!C$24*360</f>
        <v>40.175465517195974</v>
      </c>
      <c r="D12" s="14">
        <f>-D11/'P&amp;L assumptions'!D$24*360</f>
        <v>63.00447304980797</v>
      </c>
      <c r="E12" s="14">
        <f>-E11/'P&amp;L assumptions'!E$24*360</f>
        <v>82.707859838175139</v>
      </c>
      <c r="G12" s="42">
        <v>82.707859838175139</v>
      </c>
      <c r="H12" s="42">
        <v>82.707859838175139</v>
      </c>
      <c r="I12" s="42">
        <v>82.707859838175139</v>
      </c>
      <c r="J12" s="42">
        <v>82.707859838175139</v>
      </c>
      <c r="K12" s="42">
        <v>82.707859838175139</v>
      </c>
    </row>
    <row r="13" spans="2:11">
      <c r="C13" s="11"/>
      <c r="D13" s="11"/>
      <c r="E13" s="11"/>
      <c r="G13" s="18"/>
      <c r="H13" s="18"/>
      <c r="I13" s="18"/>
      <c r="J13" s="18"/>
      <c r="K13" s="18"/>
    </row>
    <row r="14" spans="2:11">
      <c r="B14" s="5" t="s">
        <v>32</v>
      </c>
      <c r="C14" s="11">
        <v>45106</v>
      </c>
      <c r="D14" s="11">
        <v>49072</v>
      </c>
      <c r="E14" s="11">
        <v>56109</v>
      </c>
      <c r="G14" s="25">
        <f>G15*'P&amp;L assumptions'!G$12</f>
        <v>56630.468538407447</v>
      </c>
      <c r="H14" s="25">
        <f>H15*'P&amp;L assumptions'!H12</f>
        <v>59660.384950170199</v>
      </c>
      <c r="I14" s="25">
        <f>I15*'P&amp;L assumptions'!I12</f>
        <v>62183.254473570763</v>
      </c>
      <c r="J14" s="25">
        <f>J15*'P&amp;L assumptions'!J12</f>
        <v>64115.123862045635</v>
      </c>
      <c r="K14" s="25">
        <f>K15*'P&amp;L assumptions'!K12</f>
        <v>66872.288557223015</v>
      </c>
    </row>
    <row r="15" spans="2:11">
      <c r="B15" s="14" t="s">
        <v>101</v>
      </c>
      <c r="C15" s="41">
        <f>C$14/'P&amp;L assumptions'!$C$12</f>
        <v>0.25454422329193072</v>
      </c>
      <c r="D15" s="41">
        <f>D$14/'P&amp;L assumptions'!D12</f>
        <v>0.26016604989979747</v>
      </c>
      <c r="E15" s="41">
        <f>E$14/'P&amp;L assumptions'!E12</f>
        <v>0.26928097674284673</v>
      </c>
      <c r="F15" s="41"/>
      <c r="G15" s="24">
        <f>AVERAGE(C15:E15)</f>
        <v>0.26133041664485829</v>
      </c>
      <c r="H15" s="24">
        <f t="shared" ref="H15:K15" si="0">AVERAGE(D15:F15)</f>
        <v>0.2647235133213221</v>
      </c>
      <c r="I15" s="24">
        <f t="shared" si="0"/>
        <v>0.26530569669385251</v>
      </c>
      <c r="J15" s="24">
        <f t="shared" si="0"/>
        <v>0.26302696498309019</v>
      </c>
      <c r="K15" s="24">
        <f t="shared" si="0"/>
        <v>0.26378654222001097</v>
      </c>
    </row>
    <row r="16" spans="2:11">
      <c r="C16" s="11"/>
      <c r="D16" s="11"/>
      <c r="E16" s="11"/>
      <c r="G16" s="18"/>
      <c r="H16" s="18"/>
      <c r="I16" s="18"/>
      <c r="J16" s="18"/>
      <c r="K16" s="18"/>
    </row>
    <row r="17" spans="2:11">
      <c r="B17" s="5" t="s">
        <v>23</v>
      </c>
      <c r="C17" s="11">
        <v>8842</v>
      </c>
      <c r="D17" s="11">
        <v>11359</v>
      </c>
      <c r="E17" s="11">
        <v>17603</v>
      </c>
      <c r="G17" s="25">
        <f>G18*'P&amp;L assumptions'!G$12</f>
        <v>14056.718724209619</v>
      </c>
      <c r="H17" s="25">
        <f>H18*'P&amp;L assumptions'!H$12</f>
        <v>16305.806251568782</v>
      </c>
      <c r="I17" s="25">
        <f>I18*'P&amp;L assumptions'!I$12</f>
        <v>17502.363982052568</v>
      </c>
      <c r="J17" s="25">
        <f>J18*'P&amp;L assumptions'!J$12</f>
        <v>16724.128446343064</v>
      </c>
      <c r="K17" s="25">
        <f>K18*'P&amp;L assumptions'!K$12</f>
        <v>17905.581350460547</v>
      </c>
    </row>
    <row r="18" spans="2:11">
      <c r="B18" s="14" t="s">
        <v>101</v>
      </c>
      <c r="C18" s="41">
        <f>C17/'P&amp;L assumptions'!C12</f>
        <v>4.989757509748706E-2</v>
      </c>
      <c r="D18" s="41">
        <f>D17/'P&amp;L assumptions'!D12</f>
        <v>6.0222248141746808E-2</v>
      </c>
      <c r="E18" s="41">
        <f>E17/'P&amp;L assumptions'!E12</f>
        <v>8.448115335515391E-2</v>
      </c>
      <c r="G18" s="24">
        <f>AVERAGE(C18:E18)</f>
        <v>6.4866992198129261E-2</v>
      </c>
      <c r="H18" s="24">
        <f t="shared" ref="H18:K18" si="1">AVERAGE(D18:F18)</f>
        <v>7.2351700748450362E-2</v>
      </c>
      <c r="I18" s="24">
        <f t="shared" si="1"/>
        <v>7.4674072776641592E-2</v>
      </c>
      <c r="J18" s="24">
        <f t="shared" si="1"/>
        <v>6.8609346473289812E-2</v>
      </c>
      <c r="K18" s="24">
        <f t="shared" si="1"/>
        <v>7.063092190774041E-2</v>
      </c>
    </row>
    <row r="19" spans="2:11">
      <c r="C19" s="11"/>
      <c r="D19" s="11"/>
      <c r="E19" s="11"/>
      <c r="G19" s="18"/>
      <c r="H19" s="18"/>
      <c r="I19" s="18"/>
      <c r="J19" s="18"/>
      <c r="K19" s="18"/>
    </row>
    <row r="20" spans="2:11">
      <c r="B20" s="5" t="s">
        <v>34</v>
      </c>
      <c r="C20" s="11">
        <v>5969</v>
      </c>
      <c r="D20" s="11">
        <v>5800</v>
      </c>
      <c r="E20" s="11">
        <v>8473</v>
      </c>
      <c r="G20" s="25">
        <f>G21*'P&amp;L assumptions'!G$12</f>
        <v>7591.6400499214287</v>
      </c>
      <c r="H20" s="25">
        <f>H21*'P&amp;L assumptions'!H$12</f>
        <v>8047.2395426268986</v>
      </c>
      <c r="I20" s="25">
        <f>I21*'P&amp;L assumptions'!I$12</f>
        <v>8871.0452749975102</v>
      </c>
      <c r="J20" s="25">
        <f>J21*'P&amp;L assumptions'!J$12</f>
        <v>8621.728441210038</v>
      </c>
      <c r="K20" s="25">
        <f>K21*'P&amp;L assumptions'!K$12</f>
        <v>9176.0392423847297</v>
      </c>
    </row>
    <row r="21" spans="2:11">
      <c r="B21" s="14" t="s">
        <v>101</v>
      </c>
      <c r="C21" s="41">
        <f>C20/'P&amp;L assumptions'!C12</f>
        <v>3.3684531300260154E-2</v>
      </c>
      <c r="D21" s="41">
        <f>D20/'P&amp;L assumptions'!D12</f>
        <v>3.0749981443976716E-2</v>
      </c>
      <c r="E21" s="41">
        <f>E20/'P&amp;L assumptions'!E12</f>
        <v>4.0664023881055451E-2</v>
      </c>
      <c r="G21" s="24">
        <f>AVERAGE(C21:E21)</f>
        <v>3.5032845541764106E-2</v>
      </c>
      <c r="H21" s="24">
        <f t="shared" ref="H21:K21" si="2">AVERAGE(D21:F21)</f>
        <v>3.5707002662516085E-2</v>
      </c>
      <c r="I21" s="24">
        <f t="shared" si="2"/>
        <v>3.7848434711409779E-2</v>
      </c>
      <c r="J21" s="24">
        <f t="shared" si="2"/>
        <v>3.5369924102140099E-2</v>
      </c>
      <c r="K21" s="24">
        <f t="shared" si="2"/>
        <v>3.6196094305229992E-2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49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7"/>
  <sheetViews>
    <sheetView zoomScale="130" zoomScaleNormal="130" workbookViewId="0">
      <selection activeCell="G18" sqref="G18"/>
    </sheetView>
  </sheetViews>
  <sheetFormatPr defaultColWidth="9.140625" defaultRowHeight="12"/>
  <cols>
    <col min="1" max="1" width="2" style="5" customWidth="1"/>
    <col min="2" max="2" width="18.28515625" style="5" bestFit="1" customWidth="1"/>
    <col min="3" max="5" width="11" style="5" bestFit="1" customWidth="1"/>
    <col min="6" max="6" width="2" style="5" customWidth="1"/>
    <col min="7" max="11" width="11" style="5" bestFit="1" customWidth="1"/>
    <col min="12" max="12" width="2" style="5" customWidth="1"/>
    <col min="13" max="16384" width="9.140625" style="5"/>
  </cols>
  <sheetData>
    <row r="1" spans="2:13" ht="15.75">
      <c r="B1" s="4" t="s">
        <v>3</v>
      </c>
    </row>
    <row r="3" spans="2:13" ht="24.75" thickBot="1">
      <c r="B3" s="15" t="s">
        <v>42</v>
      </c>
      <c r="C3" s="16" t="s">
        <v>54</v>
      </c>
      <c r="D3" s="16" t="s">
        <v>55</v>
      </c>
      <c r="E3" s="16" t="s">
        <v>56</v>
      </c>
      <c r="F3" s="19"/>
      <c r="G3" s="17" t="s">
        <v>57</v>
      </c>
      <c r="H3" s="17" t="s">
        <v>58</v>
      </c>
      <c r="I3" s="17" t="s">
        <v>59</v>
      </c>
      <c r="J3" s="17" t="s">
        <v>60</v>
      </c>
      <c r="K3" s="17" t="s">
        <v>61</v>
      </c>
      <c r="M3" s="20" t="s">
        <v>46</v>
      </c>
    </row>
    <row r="4" spans="2:13">
      <c r="B4" s="5" t="s">
        <v>53</v>
      </c>
      <c r="C4" s="11">
        <f>SUMIF('P&amp;L assumptions'!$B:$B,'P&amp;L'!$B4,'P&amp;L assumptions'!C:C)</f>
        <v>177203</v>
      </c>
      <c r="D4" s="11">
        <f>SUMIF('P&amp;L assumptions'!$B:$B,'P&amp;L'!$B4,'P&amp;L assumptions'!D:D)</f>
        <v>188618</v>
      </c>
      <c r="E4" s="11">
        <f>SUMIF('P&amp;L assumptions'!$B:$B,'P&amp;L'!$B4,'P&amp;L assumptions'!E:E)</f>
        <v>208366</v>
      </c>
      <c r="F4" s="11"/>
      <c r="G4" s="11">
        <f>SUMIF('P&amp;L assumptions'!$B:$B,'P&amp;L'!$B4,'P&amp;L assumptions'!G:G)</f>
        <v>216700.64</v>
      </c>
      <c r="H4" s="11">
        <f>SUMIF('P&amp;L assumptions'!$B:$B,'P&amp;L'!$B4,'P&amp;L assumptions'!H:H)</f>
        <v>225368.66560000004</v>
      </c>
      <c r="I4" s="11">
        <f>SUMIF('P&amp;L assumptions'!$B:$B,'P&amp;L'!$B4,'P&amp;L assumptions'!I:I)</f>
        <v>234383.41222400006</v>
      </c>
      <c r="J4" s="11">
        <f>SUMIF('P&amp;L assumptions'!$B:$B,'P&amp;L'!$B4,'P&amp;L assumptions'!J:J)</f>
        <v>243758.74871296008</v>
      </c>
      <c r="K4" s="11">
        <f>SUMIF('P&amp;L assumptions'!$B:$B,'P&amp;L'!$B4,'P&amp;L assumptions'!K:K)</f>
        <v>253509.09866147849</v>
      </c>
    </row>
    <row r="5" spans="2:13">
      <c r="B5" s="5" t="s">
        <v>85</v>
      </c>
      <c r="C5" s="11">
        <f>SUMIF('P&amp;L assumptions'!$B:$B,'P&amp;L'!$B5,'P&amp;L assumptions'!C:C)</f>
        <v>3520</v>
      </c>
      <c r="D5" s="11">
        <f>SUMIF('P&amp;L assumptions'!$B:$B,'P&amp;L'!$B5,'P&amp;L assumptions'!D:D)</f>
        <v>2416</v>
      </c>
      <c r="E5" s="11">
        <f>SUMIF('P&amp;L assumptions'!$B:$B,'P&amp;L'!$B5,'P&amp;L assumptions'!E:E)</f>
        <v>2585</v>
      </c>
      <c r="F5" s="11"/>
      <c r="G5" s="11">
        <f>SUMIF('P&amp;L assumptions'!$B:$B,'P&amp;L'!$B5,'P&amp;L assumptions'!G:G)</f>
        <v>2585</v>
      </c>
      <c r="H5" s="11">
        <f>SUMIF('P&amp;L assumptions'!$B:$B,'P&amp;L'!$B5,'P&amp;L assumptions'!H:H)</f>
        <v>2585</v>
      </c>
      <c r="I5" s="11">
        <f>SUMIF('P&amp;L assumptions'!$B:$B,'P&amp;L'!$B5,'P&amp;L assumptions'!I:I)</f>
        <v>2585</v>
      </c>
      <c r="J5" s="11">
        <f>SUMIF('P&amp;L assumptions'!$B:$B,'P&amp;L'!$B5,'P&amp;L assumptions'!J:J)</f>
        <v>2585</v>
      </c>
      <c r="K5" s="11">
        <f>SUMIF('P&amp;L assumptions'!$B:$B,'P&amp;L'!$B5,'P&amp;L assumptions'!K:K)</f>
        <v>2585</v>
      </c>
    </row>
    <row r="6" spans="2:13">
      <c r="B6" s="67" t="s">
        <v>102</v>
      </c>
      <c r="C6" s="68">
        <f>C5+C4</f>
        <v>180723</v>
      </c>
      <c r="D6" s="68">
        <f t="shared" ref="D6:K6" si="0">D5+D4</f>
        <v>191034</v>
      </c>
      <c r="E6" s="68">
        <f t="shared" si="0"/>
        <v>210951</v>
      </c>
      <c r="F6" s="68">
        <f t="shared" si="0"/>
        <v>0</v>
      </c>
      <c r="G6" s="69">
        <f t="shared" si="0"/>
        <v>219285.64</v>
      </c>
      <c r="H6" s="69">
        <f t="shared" si="0"/>
        <v>227953.66560000004</v>
      </c>
      <c r="I6" s="69">
        <f t="shared" si="0"/>
        <v>236968.41222400006</v>
      </c>
      <c r="J6" s="69">
        <f t="shared" si="0"/>
        <v>246343.74871296008</v>
      </c>
      <c r="K6" s="69">
        <f t="shared" si="0"/>
        <v>256094.09866147849</v>
      </c>
    </row>
    <row r="7" spans="2:13">
      <c r="C7" s="11"/>
      <c r="D7" s="11"/>
      <c r="E7" s="11"/>
      <c r="F7" s="11"/>
      <c r="G7" s="25"/>
      <c r="H7" s="25"/>
      <c r="I7" s="25"/>
      <c r="J7" s="25"/>
      <c r="K7" s="25"/>
    </row>
    <row r="8" spans="2:13">
      <c r="B8" s="35" t="s">
        <v>90</v>
      </c>
      <c r="C8" s="11">
        <f>SUMIF('P&amp;L assumptions'!$B:$B,'P&amp;L'!$B8,'P&amp;L assumptions'!C:C)</f>
        <v>-142394.36746666671</v>
      </c>
      <c r="D8" s="11">
        <f>SUMIF('P&amp;L assumptions'!$B:$B,'P&amp;L'!$B8,'P&amp;L assumptions'!D:D)</f>
        <v>-150572.16639999999</v>
      </c>
      <c r="E8" s="11">
        <f>SUMIF('P&amp;L assumptions'!$B:$B,'P&amp;L'!$B8,'P&amp;L assumptions'!E:E)</f>
        <v>-157523.118425397</v>
      </c>
      <c r="F8" s="33"/>
      <c r="G8" s="11">
        <f>SUMIF('P&amp;L assumptions'!$B:$B,'P&amp;L'!$B8,'P&amp;L assumptions'!G:G)</f>
        <v>-173360.51200000002</v>
      </c>
      <c r="H8" s="11">
        <f>SUMIF('P&amp;L assumptions'!$B:$B,'P&amp;L'!$B8,'P&amp;L assumptions'!H:H)</f>
        <v>-180294.93248000005</v>
      </c>
      <c r="I8" s="11">
        <f>SUMIF('P&amp;L assumptions'!$B:$B,'P&amp;L'!$B8,'P&amp;L assumptions'!I:I)</f>
        <v>-187506.72977920005</v>
      </c>
      <c r="J8" s="11">
        <f>SUMIF('P&amp;L assumptions'!$B:$B,'P&amp;L'!$B8,'P&amp;L assumptions'!J:J)</f>
        <v>-195006.99897036806</v>
      </c>
      <c r="K8" s="11">
        <f>SUMIF('P&amp;L assumptions'!$B:$B,'P&amp;L'!$B8,'P&amp;L assumptions'!K:K)</f>
        <v>-202807.27892918279</v>
      </c>
    </row>
    <row r="9" spans="2:13">
      <c r="B9" s="5" t="s">
        <v>103</v>
      </c>
      <c r="C9" s="5">
        <f>C8+C6</f>
        <v>38328.632533333293</v>
      </c>
      <c r="D9" s="5">
        <f t="shared" ref="D9:K9" si="1">D8+D6</f>
        <v>40461.833600000013</v>
      </c>
      <c r="E9" s="5">
        <f t="shared" si="1"/>
        <v>53427.881574603001</v>
      </c>
      <c r="F9" s="5">
        <f t="shared" si="1"/>
        <v>0</v>
      </c>
      <c r="G9" s="5">
        <f t="shared" si="1"/>
        <v>45925.127999999997</v>
      </c>
      <c r="H9" s="5">
        <f t="shared" si="1"/>
        <v>47658.73311999999</v>
      </c>
      <c r="I9" s="5">
        <f t="shared" si="1"/>
        <v>49461.682444800012</v>
      </c>
      <c r="J9" s="5">
        <f t="shared" si="1"/>
        <v>51336.749742592016</v>
      </c>
      <c r="K9" s="5">
        <f t="shared" si="1"/>
        <v>53286.819732295698</v>
      </c>
    </row>
    <row r="10" spans="2:13">
      <c r="C10" s="11"/>
      <c r="D10" s="11"/>
      <c r="E10" s="11"/>
      <c r="F10" s="11"/>
      <c r="G10" s="25"/>
      <c r="H10" s="25"/>
      <c r="I10" s="25"/>
      <c r="J10" s="25"/>
      <c r="K10" s="25"/>
    </row>
    <row r="11" spans="2:13">
      <c r="B11" s="35" t="s">
        <v>106</v>
      </c>
      <c r="C11" s="11">
        <f>SUMIF('P&amp;L assumptions'!$B:$B,'P&amp;L'!$B11,'P&amp;L assumptions'!C:C)</f>
        <v>-18011.315200000005</v>
      </c>
      <c r="D11" s="11">
        <f>SUMIF('P&amp;L assumptions'!$B:$B,'P&amp;L'!$B11,'P&amp;L assumptions'!D:D)</f>
        <v>-19247.897599999997</v>
      </c>
      <c r="E11" s="11">
        <f>SUMIF('P&amp;L assumptions'!$B:$B,'P&amp;L'!$B11,'P&amp;L assumptions'!E:E)</f>
        <v>-23867.008000000009</v>
      </c>
      <c r="F11" s="33"/>
      <c r="G11" s="11">
        <f>SUMIF('P&amp;L assumptions'!$B:$B,'P&amp;L'!$B11,'P&amp;L assumptions'!G:G)</f>
        <v>-23837.070400000001</v>
      </c>
      <c r="H11" s="11">
        <f>SUMIF('P&amp;L assumptions'!$B:$B,'P&amp;L'!$B11,'P&amp;L assumptions'!H:H)</f>
        <v>-24790.553216000004</v>
      </c>
      <c r="I11" s="11">
        <f>SUMIF('P&amp;L assumptions'!$B:$B,'P&amp;L'!$B11,'P&amp;L assumptions'!I:I)</f>
        <v>-25782.175344640007</v>
      </c>
      <c r="J11" s="11">
        <f>SUMIF('P&amp;L assumptions'!$B:$B,'P&amp;L'!$B11,'P&amp;L assumptions'!J:J)</f>
        <v>-26813.462358425608</v>
      </c>
      <c r="K11" s="11">
        <f>SUMIF('P&amp;L assumptions'!$B:$B,'P&amp;L'!$B11,'P&amp;L assumptions'!K:K)</f>
        <v>-27886.000852762634</v>
      </c>
    </row>
    <row r="12" spans="2:13">
      <c r="B12" s="30" t="s">
        <v>11</v>
      </c>
      <c r="C12" s="70">
        <f>C11+C9</f>
        <v>20317.317333333289</v>
      </c>
      <c r="D12" s="70">
        <f t="shared" ref="D12:K12" si="2">D11+D9</f>
        <v>21213.936000000016</v>
      </c>
      <c r="E12" s="70">
        <f t="shared" si="2"/>
        <v>29560.873574602992</v>
      </c>
      <c r="F12" s="70">
        <f t="shared" si="2"/>
        <v>0</v>
      </c>
      <c r="G12" s="71">
        <f t="shared" si="2"/>
        <v>22088.057599999996</v>
      </c>
      <c r="H12" s="71">
        <f t="shared" si="2"/>
        <v>22868.179903999986</v>
      </c>
      <c r="I12" s="71">
        <f t="shared" si="2"/>
        <v>23679.507100160004</v>
      </c>
      <c r="J12" s="71">
        <f t="shared" si="2"/>
        <v>24523.287384166408</v>
      </c>
      <c r="K12" s="71">
        <f t="shared" si="2"/>
        <v>25400.818879533064</v>
      </c>
    </row>
    <row r="13" spans="2:13">
      <c r="B13" s="5" t="s">
        <v>12</v>
      </c>
      <c r="C13" s="11">
        <f>SUMIF('P&amp;L assumptions'!$B:$B,'P&amp;L'!$B13,'P&amp;L assumptions'!C:C)</f>
        <v>-2907.8000000000006</v>
      </c>
      <c r="D13" s="11">
        <f>SUMIF('P&amp;L assumptions'!$B:$B,'P&amp;L'!$B13,'P&amp;L assumptions'!D:D)</f>
        <v>-4649.8</v>
      </c>
      <c r="E13" s="11">
        <f>SUMIF('P&amp;L assumptions'!$B:$B,'P&amp;L'!$B13,'P&amp;L assumptions'!E:E)</f>
        <v>-6430.6600000000008</v>
      </c>
      <c r="F13" s="11"/>
      <c r="G13" s="25"/>
      <c r="H13" s="25"/>
      <c r="I13" s="25"/>
      <c r="J13" s="25"/>
      <c r="K13" s="25"/>
    </row>
    <row r="14" spans="2:13">
      <c r="B14" s="67" t="s">
        <v>13</v>
      </c>
      <c r="C14" s="68">
        <f>C13+C12</f>
        <v>17409.51733333329</v>
      </c>
      <c r="D14" s="68">
        <f t="shared" ref="D14:K14" si="3">D13+D12</f>
        <v>16564.136000000017</v>
      </c>
      <c r="E14" s="68">
        <f t="shared" si="3"/>
        <v>23130.213574602993</v>
      </c>
      <c r="F14" s="68">
        <f t="shared" si="3"/>
        <v>0</v>
      </c>
      <c r="G14" s="69">
        <f t="shared" si="3"/>
        <v>22088.057599999996</v>
      </c>
      <c r="H14" s="69">
        <f t="shared" si="3"/>
        <v>22868.179903999986</v>
      </c>
      <c r="I14" s="69">
        <f t="shared" si="3"/>
        <v>23679.507100160004</v>
      </c>
      <c r="J14" s="69">
        <f t="shared" si="3"/>
        <v>24523.287384166408</v>
      </c>
      <c r="K14" s="69">
        <f t="shared" si="3"/>
        <v>25400.818879533064</v>
      </c>
    </row>
    <row r="15" spans="2:13">
      <c r="B15" s="35" t="s">
        <v>104</v>
      </c>
      <c r="C15" s="11">
        <f>SUMIF('P&amp;L assumptions'!$B:$B,'P&amp;L'!$B15,'P&amp;L assumptions'!C:C)</f>
        <v>-1266.3000000000002</v>
      </c>
      <c r="D15" s="11">
        <f>SUMIF('P&amp;L assumptions'!$B:$B,'P&amp;L'!$B15,'P&amp;L assumptions'!D:D)</f>
        <v>-2190.9</v>
      </c>
      <c r="E15" s="11">
        <f>SUMIF('P&amp;L assumptions'!$B:$B,'P&amp;L'!$B15,'P&amp;L assumptions'!E:E)</f>
        <v>-2663.92</v>
      </c>
      <c r="F15" s="26"/>
      <c r="G15" s="11">
        <f>SUMIF('P&amp;L assumptions'!$B:$B,'P&amp;L'!$B15,'P&amp;L assumptions'!G:G)</f>
        <v>-4635.2208000000001</v>
      </c>
      <c r="H15" s="11">
        <f>SUMIF('P&amp;L assumptions'!$B:$B,'P&amp;L'!$B15,'P&amp;L assumptions'!H:H)</f>
        <v>-8065.2841920000001</v>
      </c>
      <c r="I15" s="11">
        <f>SUMIF('P&amp;L assumptions'!$B:$B,'P&amp;L'!$B15,'P&amp;L assumptions'!I:I)</f>
        <v>-14033.59449408</v>
      </c>
      <c r="J15" s="11">
        <f>SUMIF('P&amp;L assumptions'!$B:$B,'P&amp;L'!$B15,'P&amp;L assumptions'!J:J)</f>
        <v>-24418.454419699199</v>
      </c>
      <c r="K15" s="11">
        <f>SUMIF('P&amp;L assumptions'!$B:$B,'P&amp;L'!$B15,'P&amp;L assumptions'!K:K)</f>
        <v>-42488.110690276604</v>
      </c>
    </row>
    <row r="16" spans="2:13">
      <c r="B16" s="35" t="s">
        <v>15</v>
      </c>
      <c r="C16" s="11">
        <f>SUMIF('P&amp;L assumptions'!$B:$B,'P&amp;L'!$B16,'P&amp;L assumptions'!C:C)</f>
        <v>-317.58000000000004</v>
      </c>
      <c r="D16" s="11">
        <f>SUMIF('P&amp;L assumptions'!$B:$B,'P&amp;L'!$B16,'P&amp;L assumptions'!D:D)</f>
        <v>-864.30000000000007</v>
      </c>
      <c r="E16" s="11">
        <f>SUMIF('P&amp;L assumptions'!$B:$B,'P&amp;L'!$B16,'P&amp;L assumptions'!E:E)</f>
        <v>-320.26</v>
      </c>
      <c r="F16" s="26"/>
      <c r="G16" s="11">
        <f>SUMIF('P&amp;L assumptions'!$B:$B,'P&amp;L'!$B16,'P&amp;L assumptions'!G:G)</f>
        <v>216.70064000000002</v>
      </c>
      <c r="H16" s="11">
        <f>SUMIF('P&amp;L assumptions'!$B:$B,'P&amp;L'!$B16,'P&amp;L assumptions'!H:H)</f>
        <v>225.36866560000004</v>
      </c>
      <c r="I16" s="11">
        <f>SUMIF('P&amp;L assumptions'!$B:$B,'P&amp;L'!$B16,'P&amp;L assumptions'!I:I)</f>
        <v>234.38341222400007</v>
      </c>
      <c r="J16" s="11">
        <f>SUMIF('P&amp;L assumptions'!$B:$B,'P&amp;L'!$B16,'P&amp;L assumptions'!J:J)</f>
        <v>243.75874871296008</v>
      </c>
      <c r="K16" s="11">
        <f>SUMIF('P&amp;L assumptions'!$B:$B,'P&amp;L'!$B16,'P&amp;L assumptions'!K:K)</f>
        <v>253.5090986614785</v>
      </c>
    </row>
    <row r="17" spans="2:11" ht="12" customHeight="1">
      <c r="B17" s="30" t="s">
        <v>16</v>
      </c>
      <c r="C17" s="70">
        <f>C16+C15+C14</f>
        <v>15825.637333333289</v>
      </c>
      <c r="D17" s="70">
        <f t="shared" ref="D17:K17" si="4">D16+D15+D14</f>
        <v>13508.936000000016</v>
      </c>
      <c r="E17" s="70">
        <f t="shared" si="4"/>
        <v>20146.033574602992</v>
      </c>
      <c r="F17" s="70">
        <f t="shared" si="4"/>
        <v>0</v>
      </c>
      <c r="G17" s="71">
        <f t="shared" si="4"/>
        <v>17669.537439999996</v>
      </c>
      <c r="H17" s="71">
        <f t="shared" si="4"/>
        <v>15028.264377599986</v>
      </c>
      <c r="I17" s="71">
        <f t="shared" si="4"/>
        <v>9880.296018304005</v>
      </c>
      <c r="J17" s="71">
        <f t="shared" si="4"/>
        <v>348.59171318016888</v>
      </c>
      <c r="K17" s="71">
        <f t="shared" si="4"/>
        <v>-16833.782712082058</v>
      </c>
    </row>
    <row r="18" spans="2:11" ht="12" customHeight="1">
      <c r="B18" s="5" t="s">
        <v>17</v>
      </c>
      <c r="C18" s="11">
        <f>SUMIF('P&amp;L assumptions'!$B:$B,'P&amp;L'!$B18,'P&amp;L assumptions'!C:C)</f>
        <v>-3805.7759999999998</v>
      </c>
      <c r="D18" s="11">
        <f>SUMIF('P&amp;L assumptions'!$B:$B,'P&amp;L'!$B18,'P&amp;L assumptions'!D:D)</f>
        <v>-3050.192</v>
      </c>
      <c r="E18" s="11">
        <f>SUMIF('P&amp;L assumptions'!$B:$B,'P&amp;L'!$B18,'P&amp;L assumptions'!E:E)</f>
        <v>-3814.88</v>
      </c>
      <c r="F18" s="11">
        <f>SUMIF('P&amp;L assumptions'!$B:$B,'P&amp;L'!$B18,'P&amp;L assumptions'!F:F)</f>
        <v>0</v>
      </c>
      <c r="G18" s="11">
        <f>SUMIF('P&amp;L assumptions'!$B:$B,'P&amp;L'!$B18,'P&amp;L assumptions'!G:G)</f>
        <v>-4654.1535999999996</v>
      </c>
      <c r="H18" s="11">
        <f>SUMIF('P&amp;L assumptions'!$B:$B,'P&amp;L'!$B18,'P&amp;L assumptions'!H:H)</f>
        <v>-5678.067391999999</v>
      </c>
      <c r="I18" s="11">
        <f>SUMIF('P&amp;L assumptions'!$B:$B,'P&amp;L'!$B18,'P&amp;L assumptions'!I:I)</f>
        <v>-6927.2422182399987</v>
      </c>
      <c r="J18" s="11">
        <f>SUMIF('P&amp;L assumptions'!$B:$B,'P&amp;L'!$B18,'P&amp;L assumptions'!J:J)</f>
        <v>-8451.2355062527986</v>
      </c>
      <c r="K18" s="11">
        <f>SUMIF('P&amp;L assumptions'!$B:$B,'P&amp;L'!$B18,'P&amp;L assumptions'!K:K)</f>
        <v>-10310.507317628413</v>
      </c>
    </row>
    <row r="19" spans="2:11" ht="12" customHeight="1">
      <c r="B19" s="65" t="s">
        <v>105</v>
      </c>
      <c r="C19" s="66">
        <f>C18+C17</f>
        <v>12019.861333333289</v>
      </c>
      <c r="D19" s="66">
        <f t="shared" ref="D19:K19" si="5">D18+D17</f>
        <v>10458.744000000017</v>
      </c>
      <c r="E19" s="66">
        <f t="shared" si="5"/>
        <v>16331.153574602991</v>
      </c>
      <c r="F19" s="66">
        <f t="shared" si="5"/>
        <v>0</v>
      </c>
      <c r="G19" s="66">
        <f t="shared" si="5"/>
        <v>13015.383839999997</v>
      </c>
      <c r="H19" s="66">
        <f t="shared" si="5"/>
        <v>9350.1969855999869</v>
      </c>
      <c r="I19" s="66">
        <f t="shared" si="5"/>
        <v>2953.0538000640063</v>
      </c>
      <c r="J19" s="66">
        <f t="shared" si="5"/>
        <v>-8102.6437930726297</v>
      </c>
      <c r="K19" s="66">
        <f t="shared" si="5"/>
        <v>-27144.290029710472</v>
      </c>
    </row>
    <row r="20" spans="2:11" ht="3.75" customHeight="1">
      <c r="C20" s="11"/>
      <c r="D20" s="11"/>
      <c r="E20" s="11"/>
      <c r="F20" s="11"/>
      <c r="G20" s="25"/>
      <c r="H20" s="25"/>
      <c r="I20" s="25"/>
      <c r="J20" s="25"/>
      <c r="K20" s="25"/>
    </row>
    <row r="21" spans="2:11">
      <c r="C21" s="43"/>
      <c r="D21" s="43"/>
      <c r="E21" s="43"/>
      <c r="F21" s="11"/>
      <c r="G21" s="11"/>
      <c r="H21" s="11"/>
      <c r="I21" s="11"/>
      <c r="J21" s="11"/>
      <c r="K21" s="11"/>
    </row>
    <row r="22" spans="2:11">
      <c r="C22" s="22"/>
      <c r="D22" s="22"/>
      <c r="E22" s="22"/>
      <c r="F22" s="11"/>
      <c r="G22" s="22"/>
      <c r="H22" s="22"/>
      <c r="I22" s="22"/>
      <c r="J22" s="22"/>
      <c r="K22" s="22"/>
    </row>
    <row r="23" spans="2:11" ht="3.75" customHeight="1">
      <c r="C23" s="11"/>
      <c r="D23" s="11"/>
      <c r="E23" s="11"/>
      <c r="F23" s="11"/>
    </row>
    <row r="24" spans="2:11">
      <c r="B24" s="50"/>
      <c r="C24" s="51"/>
      <c r="D24" s="51"/>
      <c r="E24" s="51"/>
      <c r="F24" s="54"/>
      <c r="G24" s="51"/>
      <c r="H24" s="51"/>
      <c r="I24" s="51"/>
      <c r="J24" s="51"/>
      <c r="K24" s="51"/>
    </row>
    <row r="25" spans="2:11">
      <c r="C25" s="11"/>
      <c r="D25" s="11"/>
      <c r="E25" s="11"/>
      <c r="F25" s="11"/>
    </row>
    <row r="26" spans="2:11">
      <c r="C26" s="11"/>
      <c r="D26" s="11"/>
      <c r="E26" s="11"/>
      <c r="F26" s="11"/>
    </row>
    <row r="27" spans="2:11">
      <c r="C27" s="11"/>
      <c r="D27" s="11"/>
      <c r="E27" s="11"/>
      <c r="F27" s="11"/>
    </row>
    <row r="28" spans="2:11">
      <c r="C28" s="11"/>
      <c r="D28" s="11"/>
      <c r="E28" s="11"/>
      <c r="F28" s="11"/>
    </row>
    <row r="29" spans="2:11">
      <c r="C29" s="11"/>
      <c r="D29" s="11"/>
      <c r="E29" s="11"/>
      <c r="F29" s="11"/>
    </row>
    <row r="57" spans="2:2">
      <c r="B57" s="5">
        <v>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19"/>
  <sheetViews>
    <sheetView topLeftCell="B1" zoomScale="130" zoomScaleNormal="130" workbookViewId="0">
      <selection activeCell="E10" sqref="E10"/>
    </sheetView>
  </sheetViews>
  <sheetFormatPr defaultColWidth="9.140625" defaultRowHeight="12"/>
  <cols>
    <col min="1" max="1" width="2" style="5" customWidth="1"/>
    <col min="2" max="2" width="22.7109375" style="5" bestFit="1" customWidth="1"/>
    <col min="3" max="3" width="9.140625" style="5"/>
    <col min="4" max="4" width="9.5703125" style="5" bestFit="1" customWidth="1"/>
    <col min="5" max="5" width="9.140625" style="5"/>
    <col min="6" max="6" width="2" style="5" customWidth="1"/>
    <col min="7" max="11" width="9.140625" style="5"/>
    <col min="12" max="12" width="2" style="5" customWidth="1"/>
    <col min="13" max="16384" width="9.140625" style="5"/>
  </cols>
  <sheetData>
    <row r="1" spans="2:13" ht="15.75">
      <c r="B1" s="4" t="s">
        <v>47</v>
      </c>
    </row>
    <row r="3" spans="2:13" ht="24.75" thickBot="1">
      <c r="B3" s="15" t="s">
        <v>42</v>
      </c>
      <c r="C3" s="16" t="s">
        <v>62</v>
      </c>
      <c r="D3" s="16" t="s">
        <v>63</v>
      </c>
      <c r="E3" s="16" t="s">
        <v>64</v>
      </c>
      <c r="F3" s="19"/>
      <c r="G3" s="17" t="s">
        <v>65</v>
      </c>
      <c r="H3" s="17" t="s">
        <v>66</v>
      </c>
      <c r="I3" s="17" t="s">
        <v>67</v>
      </c>
      <c r="J3" s="17" t="s">
        <v>68</v>
      </c>
      <c r="K3" s="17" t="s">
        <v>69</v>
      </c>
      <c r="M3" s="20" t="s">
        <v>46</v>
      </c>
    </row>
    <row r="4" spans="2:13">
      <c r="B4" s="5" t="s">
        <v>21</v>
      </c>
      <c r="C4" s="11">
        <v>5961.6</v>
      </c>
      <c r="D4" s="11">
        <v>5840</v>
      </c>
      <c r="E4" s="11">
        <v>5650</v>
      </c>
      <c r="G4" s="25">
        <f>$E$4</f>
        <v>5650</v>
      </c>
      <c r="H4" s="25">
        <f t="shared" ref="H4:K4" si="0">$E$4</f>
        <v>5650</v>
      </c>
      <c r="I4" s="25">
        <f t="shared" si="0"/>
        <v>5650</v>
      </c>
      <c r="J4" s="25">
        <f t="shared" si="0"/>
        <v>5650</v>
      </c>
      <c r="K4" s="25">
        <f t="shared" si="0"/>
        <v>5650</v>
      </c>
      <c r="M4" s="5" t="s">
        <v>111</v>
      </c>
    </row>
    <row r="5" spans="2:13">
      <c r="B5" s="5" t="s">
        <v>32</v>
      </c>
      <c r="C5" s="11">
        <f>SUMIF('BS assumptions'!$B:$B,BS!$B5,'BS assumptions'!C:C)</f>
        <v>45106</v>
      </c>
      <c r="D5" s="11">
        <f>SUMIF('BS assumptions'!$B:$B,BS!$B5,'BS assumptions'!D:D)</f>
        <v>49072</v>
      </c>
      <c r="E5" s="11">
        <f>SUMIF('BS assumptions'!$B:$B,BS!$B5,'BS assumptions'!E:E)</f>
        <v>56109</v>
      </c>
      <c r="G5" s="25">
        <f>SUMIF('BS assumptions'!$B:$B,BS!$B5,'BS assumptions'!G:G)</f>
        <v>56630.468538407447</v>
      </c>
      <c r="H5" s="25">
        <f>SUMIF('BS assumptions'!$B:$B,BS!$B5,'BS assumptions'!H:H)</f>
        <v>59660.384950170199</v>
      </c>
      <c r="I5" s="25">
        <f>SUMIF('BS assumptions'!$B:$B,BS!$B5,'BS assumptions'!I:I)</f>
        <v>62183.254473570763</v>
      </c>
      <c r="J5" s="25">
        <f>SUMIF('BS assumptions'!$B:$B,BS!$B5,'BS assumptions'!J:J)</f>
        <v>64115.123862045635</v>
      </c>
      <c r="K5" s="25">
        <f>SUMIF('BS assumptions'!$B:$B,BS!$B5,'BS assumptions'!K:K)</f>
        <v>66872.288557223015</v>
      </c>
    </row>
    <row r="6" spans="2:13">
      <c r="B6" s="5" t="s">
        <v>41</v>
      </c>
      <c r="C6" s="11">
        <v>8824</v>
      </c>
      <c r="D6" s="11">
        <v>9831</v>
      </c>
      <c r="E6" s="11">
        <v>10323</v>
      </c>
      <c r="G6" s="25">
        <f>$E$6</f>
        <v>10323</v>
      </c>
      <c r="H6" s="25">
        <f t="shared" ref="H6:K6" si="1">$E$6</f>
        <v>10323</v>
      </c>
      <c r="I6" s="25">
        <f t="shared" si="1"/>
        <v>10323</v>
      </c>
      <c r="J6" s="25">
        <f t="shared" si="1"/>
        <v>10323</v>
      </c>
      <c r="K6" s="25">
        <f t="shared" si="1"/>
        <v>10323</v>
      </c>
      <c r="M6" s="5" t="s">
        <v>112</v>
      </c>
    </row>
    <row r="7" spans="2:13">
      <c r="B7" s="5" t="s">
        <v>24</v>
      </c>
      <c r="C7" s="11">
        <f>SUMIF('BS assumptions'!$B:$B,BS!$B7,'BS assumptions'!C:C)</f>
        <v>31167</v>
      </c>
      <c r="D7" s="11">
        <f>SUMIF('BS assumptions'!$B:$B,BS!$B7,'BS assumptions'!D:D)</f>
        <v>36397</v>
      </c>
      <c r="E7" s="11">
        <f>SUMIF('BS assumptions'!$B:$B,BS!$B7,'BS assumptions'!E:E)</f>
        <v>46212</v>
      </c>
      <c r="G7" s="25">
        <f>SUMIF('BS assumptions'!$B:$B,BS!$B7,'BS assumptions'!G:G)</f>
        <v>61029.792152101196</v>
      </c>
      <c r="H7" s="25">
        <f>SUMIF('BS assumptions'!$B:$B,BS!$B7,'BS assumptions'!H:H)</f>
        <v>63470.983838185261</v>
      </c>
      <c r="I7" s="25">
        <f>SUMIF('BS assumptions'!$B:$B,BS!$B7,'BS assumptions'!I:I)</f>
        <v>66009.823191712654</v>
      </c>
      <c r="J7" s="25">
        <f>SUMIF('BS assumptions'!$B:$B,BS!$B7,'BS assumptions'!J:J)</f>
        <v>68650.216119381177</v>
      </c>
      <c r="K7" s="25">
        <f>SUMIF('BS assumptions'!$B:$B,BS!$B7,'BS assumptions'!K:K)</f>
        <v>71396.224764156432</v>
      </c>
    </row>
    <row r="8" spans="2:13">
      <c r="B8" s="5" t="s">
        <v>22</v>
      </c>
      <c r="C8" s="11">
        <f>SUMIF('BS assumptions'!$B:$B,BS!$B8,'BS assumptions'!C:C)</f>
        <v>32884</v>
      </c>
      <c r="D8" s="11">
        <f>SUMIF('BS assumptions'!$B:$B,BS!$B8,'BS assumptions'!D:D)</f>
        <v>38556</v>
      </c>
      <c r="E8" s="11">
        <f>SUMIF('BS assumptions'!$B:$B,BS!$B8,'BS assumptions'!E:E)</f>
        <v>43582</v>
      </c>
      <c r="G8" s="25">
        <f>SUMIF('BS assumptions'!$B:$B,BS!$B8,'BS assumptions'!G:G)</f>
        <v>45325.279999999999</v>
      </c>
      <c r="H8" s="25">
        <f>SUMIF('BS assumptions'!$B:$B,BS!$B8,'BS assumptions'!H:H)</f>
        <v>47138.291200000007</v>
      </c>
      <c r="I8" s="25">
        <f>SUMIF('BS assumptions'!$B:$B,BS!$B8,'BS assumptions'!I:I)</f>
        <v>49023.822848000018</v>
      </c>
      <c r="J8" s="25">
        <f>SUMIF('BS assumptions'!$B:$B,BS!$B8,'BS assumptions'!J:J)</f>
        <v>50984.77576192002</v>
      </c>
      <c r="K8" s="25">
        <f>SUMIF('BS assumptions'!$B:$B,BS!$B8,'BS assumptions'!K:K)</f>
        <v>53024.16679239682</v>
      </c>
    </row>
    <row r="9" spans="2:13">
      <c r="B9" s="5" t="s">
        <v>23</v>
      </c>
      <c r="C9" s="11">
        <f>SUMIF('BS assumptions'!$B:$B,BS!$B9,'BS assumptions'!C:C)</f>
        <v>8842</v>
      </c>
      <c r="D9" s="11">
        <f>SUMIF('BS assumptions'!$B:$B,BS!$B9,'BS assumptions'!D:D)</f>
        <v>11359</v>
      </c>
      <c r="E9" s="11">
        <f>SUMIF('BS assumptions'!$B:$B,BS!$B9,'BS assumptions'!E:E)</f>
        <v>17603</v>
      </c>
      <c r="G9" s="25">
        <f>SUMIF('BS assumptions'!$B:$B,BS!$B9,'BS assumptions'!G:G)</f>
        <v>14056.718724209619</v>
      </c>
      <c r="H9" s="25">
        <f>SUMIF('BS assumptions'!$B:$B,BS!$B9,'BS assumptions'!H:H)</f>
        <v>16305.806251568782</v>
      </c>
      <c r="I9" s="25">
        <f>SUMIF('BS assumptions'!$B:$B,BS!$B9,'BS assumptions'!I:I)</f>
        <v>17502.363982052568</v>
      </c>
      <c r="J9" s="25">
        <f>SUMIF('BS assumptions'!$B:$B,BS!$B9,'BS assumptions'!J:J)</f>
        <v>16724.128446343064</v>
      </c>
      <c r="K9" s="25">
        <f>SUMIF('BS assumptions'!$B:$B,BS!$B9,'BS assumptions'!K:K)</f>
        <v>17905.581350460547</v>
      </c>
    </row>
    <row r="10" spans="2:13">
      <c r="B10" s="5" t="s">
        <v>25</v>
      </c>
      <c r="C10" s="11">
        <v>11791.199999999999</v>
      </c>
      <c r="D10" s="11">
        <v>19408.8</v>
      </c>
      <c r="E10" s="11">
        <v>8173.6</v>
      </c>
      <c r="G10" s="25">
        <f>SUMIF('BS assumptions'!$B:$B,BS!$B10,'BS assumptions'!G:G)</f>
        <v>0</v>
      </c>
      <c r="H10" s="25">
        <f>SUMIF('BS assumptions'!$B:$B,BS!$B10,'BS assumptions'!H:H)</f>
        <v>0</v>
      </c>
      <c r="I10" s="25">
        <f>SUMIF('BS assumptions'!$B:$B,BS!$B10,'BS assumptions'!I:I)</f>
        <v>0</v>
      </c>
      <c r="J10" s="25">
        <f>SUMIF('BS assumptions'!$B:$B,BS!$B10,'BS assumptions'!J:J)</f>
        <v>0</v>
      </c>
      <c r="K10" s="25">
        <f>SUMIF('BS assumptions'!$B:$B,BS!$B10,'BS assumptions'!K:K)</f>
        <v>0</v>
      </c>
    </row>
    <row r="11" spans="2:13">
      <c r="B11" s="67" t="s">
        <v>26</v>
      </c>
      <c r="C11" s="68">
        <f>SUM(C4:C10)</f>
        <v>144575.80000000002</v>
      </c>
      <c r="D11" s="68">
        <f>SUM(D4:D10)</f>
        <v>170463.8</v>
      </c>
      <c r="E11" s="68">
        <f>SUM(E4:E10)</f>
        <v>187652.6</v>
      </c>
      <c r="F11" s="70"/>
      <c r="G11" s="69">
        <f t="shared" ref="G11:K11" si="2">SUM(G4:G10)</f>
        <v>193015.25941471825</v>
      </c>
      <c r="H11" s="69">
        <f t="shared" si="2"/>
        <v>202548.46623992425</v>
      </c>
      <c r="I11" s="69">
        <f t="shared" si="2"/>
        <v>210692.26449533598</v>
      </c>
      <c r="J11" s="69">
        <f t="shared" si="2"/>
        <v>216447.24418968993</v>
      </c>
      <c r="K11" s="69">
        <f t="shared" si="2"/>
        <v>225171.26146423677</v>
      </c>
    </row>
    <row r="12" spans="2:13">
      <c r="C12" s="11"/>
      <c r="D12" s="11"/>
      <c r="E12" s="11"/>
      <c r="F12" s="11"/>
      <c r="G12" s="25"/>
      <c r="H12" s="25"/>
      <c r="I12" s="25"/>
      <c r="J12" s="25"/>
      <c r="K12" s="25"/>
    </row>
    <row r="13" spans="2:13">
      <c r="B13" s="5" t="s">
        <v>107</v>
      </c>
      <c r="C13" s="11">
        <f>SUMIF('BS assumptions'!$B:$B,BS!$B13,'BS assumptions'!C:C)</f>
        <v>15891</v>
      </c>
      <c r="D13" s="11">
        <f>SUMIF('BS assumptions'!$B:$B,BS!$B13,'BS assumptions'!D:D)</f>
        <v>26352</v>
      </c>
      <c r="E13" s="11">
        <f>SUMIF('BS assumptions'!$B:$B,BS!$B13,'BS assumptions'!E:E)</f>
        <v>36190</v>
      </c>
      <c r="F13" s="11"/>
      <c r="G13" s="25">
        <f>SUMIF('BS assumptions'!$B:$B,BS!$B13,'BS assumptions'!G:G)</f>
        <v>47794.256426567605</v>
      </c>
      <c r="H13" s="25">
        <f>SUMIF('BS assumptions'!$B:$B,BS!$B13,'BS assumptions'!H:H)</f>
        <v>49706.026683630313</v>
      </c>
      <c r="I13" s="25">
        <f>SUMIF('BS assumptions'!$B:$B,BS!$B13,'BS assumptions'!I:I)</f>
        <v>51694.26775097553</v>
      </c>
      <c r="J13" s="25">
        <f>SUMIF('BS assumptions'!$B:$B,BS!$B13,'BS assumptions'!J:J)</f>
        <v>53762.038461014556</v>
      </c>
      <c r="K13" s="25">
        <f>SUMIF('BS assumptions'!$B:$B,BS!$B13,'BS assumptions'!K:K)</f>
        <v>55912.519999455129</v>
      </c>
    </row>
    <row r="14" spans="2:13">
      <c r="B14" s="5" t="s">
        <v>34</v>
      </c>
      <c r="C14" s="11">
        <f>SUMIF('BS assumptions'!$B:$B,BS!$B14,'BS assumptions'!C:C)</f>
        <v>5969</v>
      </c>
      <c r="D14" s="11">
        <f>SUMIF('BS assumptions'!$B:$B,BS!$B14,'BS assumptions'!D:D)</f>
        <v>5800</v>
      </c>
      <c r="E14" s="11">
        <f>SUMIF('BS assumptions'!$B:$B,BS!$B14,'BS assumptions'!E:E)</f>
        <v>8473</v>
      </c>
      <c r="F14" s="11"/>
      <c r="G14" s="25">
        <f>SUMIF('BS assumptions'!$B:$B,BS!$B14,'BS assumptions'!G:G)</f>
        <v>7591.6400499214287</v>
      </c>
      <c r="H14" s="25">
        <f>SUMIF('BS assumptions'!$B:$B,BS!$B14,'BS assumptions'!H:H)</f>
        <v>8047.2395426268986</v>
      </c>
      <c r="I14" s="25">
        <f>SUMIF('BS assumptions'!$B:$B,BS!$B14,'BS assumptions'!I:I)</f>
        <v>8871.0452749975102</v>
      </c>
      <c r="J14" s="25">
        <f>SUMIF('BS assumptions'!$B:$B,BS!$B14,'BS assumptions'!J:J)</f>
        <v>8621.728441210038</v>
      </c>
      <c r="K14" s="25">
        <f>SUMIF('BS assumptions'!$B:$B,BS!$B14,'BS assumptions'!K:K)</f>
        <v>9176.0392423847297</v>
      </c>
    </row>
    <row r="15" spans="2:13">
      <c r="B15" s="5" t="s">
        <v>108</v>
      </c>
      <c r="C15" s="11">
        <f>SUM('BS source'!J15:J16)</f>
        <v>41293.000000000007</v>
      </c>
      <c r="D15" s="11">
        <f>SUM('BS source'!K15:K16)</f>
        <v>50645.4</v>
      </c>
      <c r="E15" s="11">
        <f>SUM('BS source'!L15:L16)</f>
        <v>51120.799999999996</v>
      </c>
      <c r="F15" s="11"/>
      <c r="G15" s="25">
        <f>$E$15</f>
        <v>51120.799999999996</v>
      </c>
      <c r="H15" s="25">
        <f t="shared" ref="H15:K15" si="3">$E$15</f>
        <v>51120.799999999996</v>
      </c>
      <c r="I15" s="25">
        <f t="shared" si="3"/>
        <v>51120.799999999996</v>
      </c>
      <c r="J15" s="25">
        <f t="shared" si="3"/>
        <v>51120.799999999996</v>
      </c>
      <c r="K15" s="25">
        <f t="shared" si="3"/>
        <v>51120.799999999996</v>
      </c>
      <c r="M15" s="5" t="s">
        <v>112</v>
      </c>
    </row>
    <row r="16" spans="2:13">
      <c r="B16" s="5" t="s">
        <v>109</v>
      </c>
      <c r="C16" s="76">
        <f>'BS source'!J8</f>
        <v>81422.361333333276</v>
      </c>
      <c r="D16" s="76">
        <f>'BS source'!K8</f>
        <v>87666.844000000026</v>
      </c>
      <c r="E16" s="76">
        <f>'BS source'!L8</f>
        <v>91868.353574602996</v>
      </c>
      <c r="F16" s="11"/>
      <c r="G16" s="25">
        <f>E16+'P&amp;L'!G19</f>
        <v>104883.73741460299</v>
      </c>
      <c r="H16" s="25">
        <f>G16+'P&amp;L'!H19</f>
        <v>114233.93440020298</v>
      </c>
      <c r="I16" s="25">
        <f>H16+'P&amp;L'!I19</f>
        <v>117186.98820026699</v>
      </c>
      <c r="J16" s="25">
        <f>I16+'P&amp;L'!J19</f>
        <v>109084.34440719437</v>
      </c>
      <c r="K16" s="25">
        <f>J16+'P&amp;L'!K19</f>
        <v>81940.054377483902</v>
      </c>
      <c r="M16" s="5" t="s">
        <v>113</v>
      </c>
    </row>
    <row r="17" spans="2:11">
      <c r="B17" s="72" t="s">
        <v>110</v>
      </c>
      <c r="C17" s="75">
        <f>SUM(C13:C16)</f>
        <v>144575.36133333328</v>
      </c>
      <c r="D17" s="75">
        <f>SUM(D13:D16)</f>
        <v>170464.24400000001</v>
      </c>
      <c r="E17" s="75">
        <f>SUM(E13:E16)</f>
        <v>187652.15357460297</v>
      </c>
      <c r="F17" s="73"/>
      <c r="G17" s="74">
        <f t="shared" ref="G17:K17" si="4">SUM(G13:G16)</f>
        <v>211390.43389109202</v>
      </c>
      <c r="H17" s="74">
        <f t="shared" si="4"/>
        <v>223108.00062646018</v>
      </c>
      <c r="I17" s="74">
        <f t="shared" si="4"/>
        <v>228873.10122624002</v>
      </c>
      <c r="J17" s="74">
        <f t="shared" si="4"/>
        <v>222588.91130941897</v>
      </c>
      <c r="K17" s="74">
        <f t="shared" si="4"/>
        <v>198149.41361932375</v>
      </c>
    </row>
    <row r="18" spans="2:11">
      <c r="G18" s="11"/>
      <c r="H18" s="11"/>
      <c r="I18" s="11"/>
      <c r="J18" s="11"/>
      <c r="K18" s="11"/>
    </row>
    <row r="19" spans="2:11">
      <c r="G19" s="11"/>
      <c r="H19" s="11"/>
      <c r="I19" s="11"/>
      <c r="J19" s="11"/>
      <c r="K19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J8" sqref="J8:L8"/>
    </sheetView>
  </sheetViews>
  <sheetFormatPr defaultColWidth="9.140625" defaultRowHeight="12"/>
  <cols>
    <col min="1" max="1" width="2" style="5" customWidth="1"/>
    <col min="2" max="2" width="24.140625" style="5" bestFit="1" customWidth="1"/>
    <col min="3" max="3" width="9.140625" style="5"/>
    <col min="4" max="4" width="10.85546875" style="5" customWidth="1"/>
    <col min="5" max="5" width="10.7109375" style="5" customWidth="1"/>
    <col min="6" max="6" width="10" style="5" bestFit="1" customWidth="1"/>
    <col min="7" max="7" width="9.140625" style="5"/>
    <col min="8" max="8" width="22.140625" style="5" bestFit="1" customWidth="1"/>
    <col min="9" max="9" width="9.140625" style="5"/>
    <col min="10" max="10" width="10" style="5" bestFit="1" customWidth="1"/>
    <col min="11" max="11" width="10.5703125" style="5" customWidth="1"/>
    <col min="12" max="12" width="11.140625" style="5" customWidth="1"/>
    <col min="13" max="16384" width="9.140625" style="5"/>
  </cols>
  <sheetData>
    <row r="1" spans="2:12" ht="15.75">
      <c r="B1" s="4" t="s">
        <v>0</v>
      </c>
    </row>
    <row r="3" spans="2:12" ht="24">
      <c r="B3" s="6" t="s">
        <v>43</v>
      </c>
      <c r="C3" s="6"/>
      <c r="D3" s="7" t="s">
        <v>70</v>
      </c>
      <c r="E3" s="7" t="s">
        <v>71</v>
      </c>
      <c r="F3" s="7" t="s">
        <v>72</v>
      </c>
      <c r="H3" s="6" t="s">
        <v>43</v>
      </c>
      <c r="I3" s="6"/>
      <c r="J3" s="7" t="s">
        <v>70</v>
      </c>
      <c r="K3" s="7" t="s">
        <v>71</v>
      </c>
      <c r="L3" s="7" t="s">
        <v>72</v>
      </c>
    </row>
    <row r="4" spans="2:12">
      <c r="B4" s="5" t="s">
        <v>21</v>
      </c>
      <c r="D4" s="11">
        <v>5961.6</v>
      </c>
      <c r="E4" s="11">
        <v>5840</v>
      </c>
      <c r="F4" s="11">
        <v>5650</v>
      </c>
      <c r="G4" s="11"/>
      <c r="H4" s="11" t="s">
        <v>27</v>
      </c>
      <c r="I4" s="11"/>
      <c r="J4" s="11">
        <v>6784.8</v>
      </c>
      <c r="K4" s="11">
        <v>6800</v>
      </c>
      <c r="L4" s="11">
        <v>7508</v>
      </c>
    </row>
    <row r="5" spans="2:12">
      <c r="B5" s="5" t="s">
        <v>32</v>
      </c>
      <c r="D5" s="11">
        <v>45106.400000000001</v>
      </c>
      <c r="E5" s="11">
        <v>49072.4</v>
      </c>
      <c r="F5" s="11">
        <v>56109.2</v>
      </c>
      <c r="G5" s="11"/>
      <c r="H5" s="11" t="s">
        <v>28</v>
      </c>
      <c r="I5" s="11"/>
      <c r="J5" s="11">
        <v>46224</v>
      </c>
      <c r="K5" s="11">
        <v>44414.400000000001</v>
      </c>
      <c r="L5" s="11">
        <v>46513.2</v>
      </c>
    </row>
    <row r="6" spans="2:12">
      <c r="B6" s="5" t="s">
        <v>41</v>
      </c>
      <c r="D6" s="11">
        <v>8824</v>
      </c>
      <c r="E6" s="11">
        <v>9831</v>
      </c>
      <c r="F6" s="11">
        <v>10323</v>
      </c>
      <c r="G6" s="11"/>
      <c r="H6" s="11" t="s">
        <v>29</v>
      </c>
      <c r="I6" s="11"/>
      <c r="J6" s="11">
        <v>16393.7</v>
      </c>
      <c r="K6" s="11">
        <v>25993.7</v>
      </c>
      <c r="L6" s="11">
        <v>21516</v>
      </c>
    </row>
    <row r="7" spans="2:12">
      <c r="D7" s="11"/>
      <c r="E7" s="11"/>
      <c r="F7" s="11"/>
      <c r="G7" s="11"/>
      <c r="H7" s="11" t="s">
        <v>30</v>
      </c>
      <c r="I7" s="11"/>
      <c r="J7" s="11">
        <v>12019.861333333281</v>
      </c>
      <c r="K7" s="11">
        <v>10458.744000000017</v>
      </c>
      <c r="L7" s="11">
        <v>16331.153574603002</v>
      </c>
    </row>
    <row r="8" spans="2:12" ht="12.75" thickBot="1">
      <c r="B8" s="8" t="s">
        <v>44</v>
      </c>
      <c r="C8" s="13"/>
      <c r="D8" s="12">
        <f>D6+D5+D4</f>
        <v>59892</v>
      </c>
      <c r="E8" s="12">
        <f>E6+E5+E4</f>
        <v>64743.4</v>
      </c>
      <c r="F8" s="12">
        <f>F6+F5+F4</f>
        <v>72082.2</v>
      </c>
      <c r="G8" s="11"/>
      <c r="H8" s="12" t="s">
        <v>31</v>
      </c>
      <c r="I8" s="27"/>
      <c r="J8" s="12">
        <f>SUM(J4:J7)</f>
        <v>81422.361333333276</v>
      </c>
      <c r="K8" s="12">
        <f>SUM(K4:K7)</f>
        <v>87666.844000000026</v>
      </c>
      <c r="L8" s="12">
        <f>SUM(L4:L7)</f>
        <v>91868.353574602996</v>
      </c>
    </row>
    <row r="9" spans="2:12">
      <c r="D9" s="11"/>
      <c r="E9" s="11"/>
      <c r="F9" s="11"/>
      <c r="G9" s="11"/>
      <c r="H9" s="11"/>
      <c r="I9" s="11"/>
      <c r="J9" s="11"/>
      <c r="K9" s="11"/>
      <c r="L9" s="11"/>
    </row>
    <row r="10" spans="2:12">
      <c r="B10" s="5" t="s">
        <v>24</v>
      </c>
      <c r="D10" s="11">
        <v>31167.200000000001</v>
      </c>
      <c r="E10" s="11">
        <v>36396.800000000003</v>
      </c>
      <c r="F10" s="11">
        <v>46212</v>
      </c>
      <c r="G10" s="11"/>
      <c r="H10" s="11" t="s">
        <v>33</v>
      </c>
      <c r="I10" s="11"/>
      <c r="J10" s="11">
        <v>15891.2</v>
      </c>
      <c r="K10" s="11">
        <v>26351.599999999999</v>
      </c>
      <c r="L10" s="11">
        <v>36189.599999999999</v>
      </c>
    </row>
    <row r="11" spans="2:12">
      <c r="B11" s="5" t="s">
        <v>22</v>
      </c>
      <c r="D11" s="11">
        <v>32883.599999999999</v>
      </c>
      <c r="E11" s="11">
        <v>38556</v>
      </c>
      <c r="F11" s="11">
        <v>43581.599999999999</v>
      </c>
      <c r="G11" s="11"/>
      <c r="H11" s="11" t="s">
        <v>34</v>
      </c>
      <c r="I11" s="11"/>
      <c r="J11" s="11">
        <v>5315</v>
      </c>
      <c r="K11" s="11">
        <v>4334</v>
      </c>
      <c r="L11" s="11">
        <v>6473.0464253970422</v>
      </c>
    </row>
    <row r="12" spans="2:12">
      <c r="B12" s="5" t="s">
        <v>23</v>
      </c>
      <c r="D12" s="11">
        <v>8841.6</v>
      </c>
      <c r="E12" s="11">
        <v>11359.199999999999</v>
      </c>
      <c r="F12" s="11">
        <v>17602.8</v>
      </c>
      <c r="G12" s="11"/>
      <c r="H12" s="11" t="s">
        <v>40</v>
      </c>
      <c r="I12" s="11"/>
      <c r="J12" s="11">
        <v>478.83866666668911</v>
      </c>
      <c r="K12" s="11">
        <v>1217.9560000000056</v>
      </c>
      <c r="L12" s="11">
        <v>1760.3999999999999</v>
      </c>
    </row>
    <row r="13" spans="2:12">
      <c r="D13" s="11"/>
      <c r="E13" s="11"/>
      <c r="F13" s="11"/>
      <c r="G13" s="11"/>
      <c r="H13" s="11" t="s">
        <v>35</v>
      </c>
      <c r="I13" s="11"/>
      <c r="J13" s="11">
        <v>175.2</v>
      </c>
      <c r="K13" s="11">
        <v>248.39999999999998</v>
      </c>
      <c r="L13" s="11">
        <v>240</v>
      </c>
    </row>
    <row r="14" spans="2:12">
      <c r="B14" s="5" t="s">
        <v>25</v>
      </c>
      <c r="D14" s="11">
        <v>11791.199999999999</v>
      </c>
      <c r="E14" s="11">
        <v>19408.8</v>
      </c>
      <c r="F14" s="11">
        <v>8173.6</v>
      </c>
      <c r="G14" s="11"/>
      <c r="H14" s="11"/>
      <c r="I14" s="11"/>
      <c r="J14" s="11"/>
      <c r="K14" s="11"/>
      <c r="L14" s="11"/>
    </row>
    <row r="15" spans="2:12" ht="12.75" thickBot="1">
      <c r="B15" s="8" t="s">
        <v>45</v>
      </c>
      <c r="C15" s="13"/>
      <c r="D15" s="12">
        <f>+D14+D12+D11+D10</f>
        <v>84683.599999999991</v>
      </c>
      <c r="E15" s="12">
        <f>+E14+E12+E11+E10</f>
        <v>105720.8</v>
      </c>
      <c r="F15" s="12">
        <f>+F14+F12+F11+F10</f>
        <v>115570</v>
      </c>
      <c r="G15" s="11"/>
      <c r="H15" s="11" t="s">
        <v>36</v>
      </c>
      <c r="I15" s="11"/>
      <c r="J15" s="11">
        <v>37402.600000000006</v>
      </c>
      <c r="K15" s="11">
        <v>45594.6</v>
      </c>
      <c r="L15" s="11">
        <v>50680.399999999994</v>
      </c>
    </row>
    <row r="16" spans="2:12">
      <c r="D16" s="11"/>
      <c r="E16" s="11"/>
      <c r="F16" s="11"/>
      <c r="G16" s="11"/>
      <c r="H16" s="11" t="s">
        <v>37</v>
      </c>
      <c r="I16" s="11"/>
      <c r="J16" s="11">
        <v>3890.3999999999996</v>
      </c>
      <c r="K16" s="11">
        <v>5050.8</v>
      </c>
      <c r="L16" s="11">
        <v>440.4</v>
      </c>
    </row>
    <row r="17" spans="2:12" ht="12.75" thickBot="1">
      <c r="D17" s="11"/>
      <c r="E17" s="11"/>
      <c r="F17" s="11"/>
      <c r="G17" s="11"/>
      <c r="H17" s="12" t="s">
        <v>38</v>
      </c>
      <c r="I17" s="27"/>
      <c r="J17" s="12">
        <f>J16+J15+SUM(J10:J13)</f>
        <v>63153.238666666701</v>
      </c>
      <c r="K17" s="12">
        <f>K16+K15+SUM(K10:K13)</f>
        <v>82797.356</v>
      </c>
      <c r="L17" s="12">
        <f>L16+L15+SUM(L10:L13)</f>
        <v>95783.846425397031</v>
      </c>
    </row>
    <row r="18" spans="2:12">
      <c r="D18" s="11"/>
      <c r="E18" s="11"/>
      <c r="F18" s="11"/>
      <c r="G18" s="11"/>
      <c r="H18" s="11"/>
      <c r="I18" s="11"/>
      <c r="J18" s="11"/>
      <c r="K18" s="11"/>
      <c r="L18" s="11"/>
    </row>
    <row r="19" spans="2:12" ht="12.75" thickBot="1">
      <c r="B19" s="8" t="s">
        <v>26</v>
      </c>
      <c r="C19" s="13"/>
      <c r="D19" s="12">
        <f>D15+D8</f>
        <v>144575.59999999998</v>
      </c>
      <c r="E19" s="12">
        <f>E15+E8</f>
        <v>170464.2</v>
      </c>
      <c r="F19" s="12">
        <f>F15+F8</f>
        <v>187652.2</v>
      </c>
      <c r="G19" s="11"/>
      <c r="H19" s="12" t="s">
        <v>39</v>
      </c>
      <c r="I19" s="27"/>
      <c r="J19" s="12">
        <f>J17+J8</f>
        <v>144575.59999999998</v>
      </c>
      <c r="K19" s="12">
        <f>K17+K8</f>
        <v>170464.2</v>
      </c>
      <c r="L19" s="12">
        <f>L17+L8</f>
        <v>187652.2</v>
      </c>
    </row>
    <row r="22" spans="2:12">
      <c r="J22" s="5">
        <f>J19-D19</f>
        <v>0</v>
      </c>
      <c r="K22" s="5">
        <f>K19-E19</f>
        <v>0</v>
      </c>
      <c r="L22" s="5">
        <f>L19-F19</f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28"/>
  <sheetViews>
    <sheetView zoomScale="130" zoomScaleNormal="130" workbookViewId="0">
      <selection activeCell="E28" sqref="E28"/>
    </sheetView>
  </sheetViews>
  <sheetFormatPr defaultColWidth="9.140625" defaultRowHeight="12"/>
  <cols>
    <col min="1" max="1" width="2" style="9" customWidth="1"/>
    <col min="2" max="2" width="31.5703125" style="9" bestFit="1" customWidth="1"/>
    <col min="3" max="3" width="9.140625" style="9" customWidth="1"/>
    <col min="4" max="5" width="9.5703125" style="9" bestFit="1" customWidth="1"/>
    <col min="6" max="6" width="2" style="9" customWidth="1"/>
    <col min="7" max="11" width="9.5703125" style="9" bestFit="1" customWidth="1"/>
    <col min="12" max="12" width="2" style="9" customWidth="1"/>
    <col min="13" max="16384" width="9.140625" style="9"/>
  </cols>
  <sheetData>
    <row r="1" spans="2:13" ht="15.75">
      <c r="B1" s="10" t="s">
        <v>114</v>
      </c>
      <c r="C1" s="10"/>
    </row>
    <row r="2" spans="2:13">
      <c r="B2" s="9" t="s">
        <v>52</v>
      </c>
    </row>
    <row r="3" spans="2:13" ht="24.75" thickBot="1">
      <c r="B3" s="15" t="s">
        <v>42</v>
      </c>
      <c r="C3" s="15"/>
      <c r="D3" s="16" t="s">
        <v>55</v>
      </c>
      <c r="E3" s="16" t="s">
        <v>56</v>
      </c>
      <c r="F3" s="19"/>
      <c r="G3" s="17" t="s">
        <v>57</v>
      </c>
      <c r="H3" s="17" t="s">
        <v>58</v>
      </c>
      <c r="I3" s="17" t="s">
        <v>59</v>
      </c>
      <c r="J3" s="17" t="s">
        <v>60</v>
      </c>
      <c r="K3" s="17" t="s">
        <v>61</v>
      </c>
      <c r="L3" s="5"/>
      <c r="M3" s="20" t="s">
        <v>46</v>
      </c>
    </row>
    <row r="4" spans="2:13">
      <c r="B4" s="9" t="s">
        <v>13</v>
      </c>
      <c r="D4" s="28">
        <f>'P&amp;L'!D14</f>
        <v>16564.136000000017</v>
      </c>
      <c r="E4" s="28">
        <f>'P&amp;L'!E14</f>
        <v>23130.213574602993</v>
      </c>
      <c r="F4" s="28">
        <f>'P&amp;L'!F14</f>
        <v>0</v>
      </c>
      <c r="G4" s="29">
        <f>'P&amp;L'!G14</f>
        <v>22088.057599999996</v>
      </c>
      <c r="H4" s="29">
        <f>'P&amp;L'!H14</f>
        <v>22868.179903999986</v>
      </c>
      <c r="I4" s="29">
        <f>'P&amp;L'!I14</f>
        <v>23679.507100160004</v>
      </c>
      <c r="J4" s="29">
        <f>'P&amp;L'!J14</f>
        <v>24523.287384166408</v>
      </c>
      <c r="K4" s="29">
        <f>'P&amp;L'!K14</f>
        <v>25400.818879533064</v>
      </c>
    </row>
    <row r="5" spans="2:13">
      <c r="B5" s="9" t="s">
        <v>115</v>
      </c>
      <c r="D5" s="38">
        <f>D4*D6</f>
        <v>-3809.751280000004</v>
      </c>
      <c r="E5" s="38">
        <f t="shared" ref="E5:K5" si="0">E4*E6</f>
        <v>0</v>
      </c>
      <c r="F5" s="38">
        <f t="shared" si="0"/>
        <v>0</v>
      </c>
      <c r="G5" s="40">
        <f t="shared" si="0"/>
        <v>0</v>
      </c>
      <c r="H5" s="40">
        <f t="shared" si="0"/>
        <v>0</v>
      </c>
      <c r="I5" s="40">
        <f t="shared" si="0"/>
        <v>0</v>
      </c>
      <c r="J5" s="40">
        <f t="shared" si="0"/>
        <v>0</v>
      </c>
      <c r="K5" s="40">
        <f t="shared" si="0"/>
        <v>0</v>
      </c>
    </row>
    <row r="6" spans="2:13">
      <c r="B6" s="9" t="s">
        <v>116</v>
      </c>
      <c r="D6" s="22">
        <v>-0.23</v>
      </c>
      <c r="E6" s="22"/>
      <c r="F6" s="22"/>
      <c r="G6" s="24"/>
      <c r="H6" s="24"/>
      <c r="I6" s="24"/>
      <c r="J6" s="24"/>
      <c r="K6" s="24"/>
    </row>
    <row r="7" spans="2:13">
      <c r="B7" s="67" t="s">
        <v>117</v>
      </c>
      <c r="C7" s="67"/>
      <c r="D7" s="68">
        <f>SUM(D4:D5)</f>
        <v>12754.384720000013</v>
      </c>
      <c r="E7" s="68">
        <f t="shared" ref="E7:F7" si="1">SUM(E4:E5)</f>
        <v>23130.213574602993</v>
      </c>
      <c r="F7" s="68">
        <f t="shared" si="1"/>
        <v>0</v>
      </c>
      <c r="G7" s="69">
        <f>SUM(G4:G5)</f>
        <v>22088.057599999996</v>
      </c>
      <c r="H7" s="69">
        <f>SUM(H4:H5)</f>
        <v>22868.179903999986</v>
      </c>
      <c r="I7" s="69">
        <f>SUM(I4:I5)</f>
        <v>23679.507100160004</v>
      </c>
      <c r="J7" s="69">
        <f>SUM(J4:J5)</f>
        <v>24523.287384166408</v>
      </c>
      <c r="K7" s="69">
        <f>SUM(K4:K5)</f>
        <v>25400.818879533064</v>
      </c>
    </row>
    <row r="8" spans="2:13">
      <c r="B8" s="9" t="s">
        <v>118</v>
      </c>
      <c r="D8" s="28">
        <f>-'P&amp;L'!D13</f>
        <v>4649.8</v>
      </c>
      <c r="E8" s="28">
        <f>-'P&amp;L'!E13</f>
        <v>6430.6600000000008</v>
      </c>
      <c r="F8" s="28">
        <f>-'P&amp;L'!F13</f>
        <v>0</v>
      </c>
      <c r="G8" s="29">
        <f>-'P&amp;L'!G13</f>
        <v>0</v>
      </c>
      <c r="H8" s="29">
        <f>-'P&amp;L'!H13</f>
        <v>0</v>
      </c>
      <c r="I8" s="29">
        <f>-'P&amp;L'!I13</f>
        <v>0</v>
      </c>
      <c r="J8" s="29">
        <f>-'P&amp;L'!J13</f>
        <v>0</v>
      </c>
      <c r="K8" s="29">
        <f>-'P&amp;L'!K13</f>
        <v>0</v>
      </c>
    </row>
    <row r="9" spans="2:13">
      <c r="B9" s="67" t="s">
        <v>119</v>
      </c>
      <c r="C9" s="79"/>
      <c r="D9" s="68">
        <f>SUM(D7:D8)</f>
        <v>17404.184720000012</v>
      </c>
      <c r="E9" s="68">
        <f>SUM(E7:E8)</f>
        <v>29560.873574602992</v>
      </c>
      <c r="F9" s="68"/>
      <c r="G9" s="69"/>
      <c r="H9" s="69"/>
      <c r="I9" s="69"/>
      <c r="J9" s="69"/>
      <c r="K9" s="69"/>
    </row>
    <row r="10" spans="2:13">
      <c r="B10" s="9" t="s">
        <v>24</v>
      </c>
      <c r="D10" s="28">
        <f>-(BS!D7-BS!C7)</f>
        <v>-5230</v>
      </c>
      <c r="E10" s="28">
        <f>-(BS!E7-BS!D7)</f>
        <v>-9815</v>
      </c>
      <c r="F10" s="28">
        <f>-(BS!F7-BS!E7)</f>
        <v>46212</v>
      </c>
      <c r="G10" s="29">
        <f>-(BS!G7-BS!E7)</f>
        <v>-14817.792152101196</v>
      </c>
      <c r="H10" s="29">
        <f>-(BS!H7-BS!G7)</f>
        <v>-2441.1916860840647</v>
      </c>
      <c r="I10" s="29">
        <f>-(BS!I7-BS!H7)</f>
        <v>-2538.8393535273935</v>
      </c>
      <c r="J10" s="29">
        <f>-(BS!J7-BS!I7)</f>
        <v>-2640.392927668523</v>
      </c>
      <c r="K10" s="29">
        <f>-(BS!K7-BS!J7)</f>
        <v>-2746.0086447752547</v>
      </c>
    </row>
    <row r="11" spans="2:13">
      <c r="B11" s="35" t="s">
        <v>22</v>
      </c>
      <c r="C11" s="21"/>
      <c r="D11" s="28">
        <f>-(BS!D8-BS!C8)</f>
        <v>-5672</v>
      </c>
      <c r="E11" s="28">
        <f>-(BS!E8-BS!D8)</f>
        <v>-5026</v>
      </c>
      <c r="F11" s="28">
        <f>-(BS!F8-BS!E8)</f>
        <v>43582</v>
      </c>
      <c r="G11" s="29">
        <f>-(BS!G8-BS!E8)</f>
        <v>-1743.2799999999988</v>
      </c>
      <c r="H11" s="29">
        <f>-(BS!H8-BS!G8)</f>
        <v>-1813.0112000000081</v>
      </c>
      <c r="I11" s="29">
        <f>-(BS!I8-BS!H8)</f>
        <v>-1885.531648000011</v>
      </c>
      <c r="J11" s="29">
        <f>-(BS!J8-BS!I8)</f>
        <v>-1960.9529139200022</v>
      </c>
      <c r="K11" s="29">
        <f>-(BS!K8-BS!J8)</f>
        <v>-2039.3910304767996</v>
      </c>
    </row>
    <row r="12" spans="2:13">
      <c r="B12" s="80" t="s">
        <v>99</v>
      </c>
      <c r="C12" s="46"/>
      <c r="D12" s="28">
        <f>BS!D13-BS!C13</f>
        <v>10461</v>
      </c>
      <c r="E12" s="28">
        <f>BS!E13-BS!D13</f>
        <v>9838</v>
      </c>
      <c r="F12" s="28">
        <f>BS!F13-BS!E13</f>
        <v>-36190</v>
      </c>
      <c r="G12" s="29">
        <f>BS!G13-BS!E13</f>
        <v>11604.256426567605</v>
      </c>
      <c r="H12" s="29">
        <f>BS!H13-BS!G13</f>
        <v>1911.770257062708</v>
      </c>
      <c r="I12" s="29">
        <f>BS!I13-BS!H13</f>
        <v>1988.2410673452177</v>
      </c>
      <c r="J12" s="29">
        <f>BS!J13-BS!I13</f>
        <v>2067.7707100390253</v>
      </c>
      <c r="K12" s="29">
        <f>BS!K13-BS!J13</f>
        <v>2150.4815384405738</v>
      </c>
    </row>
    <row r="13" spans="2:13">
      <c r="B13" s="21" t="s">
        <v>120</v>
      </c>
      <c r="C13" s="77"/>
      <c r="D13" s="78">
        <f>SUM(D10:D12)</f>
        <v>-441</v>
      </c>
      <c r="E13" s="78">
        <f t="shared" ref="E13:K13" si="2">SUM(E10:E12)</f>
        <v>-5003</v>
      </c>
      <c r="F13" s="78">
        <f t="shared" si="2"/>
        <v>53604</v>
      </c>
      <c r="G13" s="82">
        <f t="shared" si="2"/>
        <v>-4956.81572553359</v>
      </c>
      <c r="H13" s="82">
        <f t="shared" si="2"/>
        <v>-2342.4326290213648</v>
      </c>
      <c r="I13" s="82">
        <f t="shared" si="2"/>
        <v>-2436.1299341821868</v>
      </c>
      <c r="J13" s="82">
        <f t="shared" si="2"/>
        <v>-2533.5751315494999</v>
      </c>
      <c r="K13" s="82">
        <f t="shared" si="2"/>
        <v>-2634.9181368114805</v>
      </c>
    </row>
    <row r="14" spans="2:13">
      <c r="B14" s="21" t="s">
        <v>121</v>
      </c>
      <c r="C14" s="46"/>
      <c r="D14" s="36">
        <f>-(BS!D9-BS!C9)+(BS!D14-BS!C14)</f>
        <v>-2686</v>
      </c>
      <c r="E14" s="36">
        <f>-(BS!E9-BS!D9)+(BS!E14-BS!D14)</f>
        <v>-3571</v>
      </c>
      <c r="G14" s="83">
        <f>-(BS!G9-BS!E9)+(BS!G14-BS!E14)</f>
        <v>2664.9213257118099</v>
      </c>
      <c r="H14" s="83">
        <f>-(BS!H9-BS!G9)+(BS!H14-BS!G14)</f>
        <v>-1793.4880346536929</v>
      </c>
      <c r="I14" s="83">
        <f>-(BS!I9-BS!H9)+(BS!I14-BS!H14)</f>
        <v>-372.75199811317452</v>
      </c>
      <c r="J14" s="83">
        <f>-(BS!J9-BS!I9)+(BS!J14-BS!I14)</f>
        <v>528.91870192203169</v>
      </c>
      <c r="K14" s="83">
        <f>-(BS!K9-BS!J9)+(BS!K14-BS!J14)</f>
        <v>-627.1421029427911</v>
      </c>
    </row>
    <row r="15" spans="2:13" ht="12" customHeight="1">
      <c r="B15" s="21" t="s">
        <v>122</v>
      </c>
      <c r="C15" s="46"/>
      <c r="D15" s="36">
        <f>-(BS!D5-BS!C5)+'P&amp;L'!D13</f>
        <v>-8615.7999999999993</v>
      </c>
      <c r="E15" s="36">
        <f>-(BS!E5-BS!D5)+'P&amp;L'!E13</f>
        <v>-13467.66</v>
      </c>
      <c r="F15" s="36">
        <f>-(BS!F5-BS!E5)+'P&amp;L'!F13</f>
        <v>56109</v>
      </c>
      <c r="G15" s="83">
        <f>-(BS!G5-BS!E5)+'P&amp;L'!G13</f>
        <v>-521.46853840744734</v>
      </c>
      <c r="H15" s="83">
        <f>-(BS!H5-BS!G5)+'P&amp;L'!H13</f>
        <v>-3029.9164117627515</v>
      </c>
      <c r="I15" s="83">
        <f>-(BS!I5-BS!G5)+'P&amp;L'!I13</f>
        <v>-5552.785935163316</v>
      </c>
      <c r="J15" s="83">
        <f>-(BS!J5-BS!H5)+'P&amp;L'!J13</f>
        <v>-4454.7389118754363</v>
      </c>
      <c r="K15" s="83">
        <f>-(BS!K5-BS!I5)+'P&amp;L'!K13</f>
        <v>-4689.0340836522519</v>
      </c>
    </row>
    <row r="16" spans="2:13">
      <c r="B16" s="21" t="s">
        <v>123</v>
      </c>
      <c r="C16" s="50"/>
      <c r="D16" s="36">
        <f>-(BS!D6-BS!C6)-(BS!D4-BS!C4)</f>
        <v>-885.39999999999964</v>
      </c>
      <c r="E16" s="36">
        <f>-(BS!E6-BS!D6)-(BS!E4-BS!D4)</f>
        <v>-302</v>
      </c>
      <c r="F16" s="36">
        <f>-(BS!F6-BS!E6)-(BS!F4-BS!E4)</f>
        <v>15973</v>
      </c>
      <c r="G16" s="83">
        <f>-(BS!G6-BS!E6)-(BS!G4-BS!E4)</f>
        <v>0</v>
      </c>
      <c r="H16" s="83">
        <f>-(BS!H6-BS!G6)-(BS!H4-BS!G4)</f>
        <v>0</v>
      </c>
      <c r="I16" s="83">
        <f>-(BS!I6-BS!H6)-(BS!I4-BS!H4)</f>
        <v>0</v>
      </c>
      <c r="J16" s="83">
        <f>-(BS!J6-BS!I6)-(BS!J4-BS!I4)</f>
        <v>0</v>
      </c>
      <c r="K16" s="83">
        <f>-(BS!K6-BS!J6)-(BS!K4-BS!J4)</f>
        <v>0</v>
      </c>
    </row>
    <row r="17" spans="2:11">
      <c r="B17" s="21" t="s">
        <v>124</v>
      </c>
      <c r="D17" s="28">
        <f>'P&amp;L'!D16</f>
        <v>-864.30000000000007</v>
      </c>
      <c r="E17" s="28">
        <f>'P&amp;L'!E16</f>
        <v>-320.26</v>
      </c>
      <c r="F17" s="28">
        <f>'P&amp;L'!F16</f>
        <v>0</v>
      </c>
      <c r="G17" s="29">
        <f>'P&amp;L'!G16</f>
        <v>216.70064000000002</v>
      </c>
      <c r="H17" s="29">
        <f>'P&amp;L'!H16</f>
        <v>225.36866560000004</v>
      </c>
      <c r="I17" s="29">
        <f>'P&amp;L'!I16</f>
        <v>234.38341222400007</v>
      </c>
      <c r="J17" s="29">
        <f>'P&amp;L'!J16</f>
        <v>243.75874871296008</v>
      </c>
      <c r="K17" s="29">
        <f>'P&amp;L'!K16</f>
        <v>253.5090986614785</v>
      </c>
    </row>
    <row r="18" spans="2:11">
      <c r="B18" s="81" t="s">
        <v>125</v>
      </c>
      <c r="C18" s="81"/>
      <c r="D18" s="81">
        <f>SUM(D9,D13,D14,D15,D16,D17)</f>
        <v>3911.6847200000129</v>
      </c>
      <c r="E18" s="81">
        <f t="shared" ref="E18:K18" si="3">SUM(E9,E13,E14,E15,E16,E17)</f>
        <v>6896.9535746029924</v>
      </c>
      <c r="F18" s="81">
        <f t="shared" si="3"/>
        <v>125686</v>
      </c>
      <c r="G18" s="81">
        <f t="shared" si="3"/>
        <v>-2596.6622982292274</v>
      </c>
      <c r="H18" s="81">
        <f t="shared" si="3"/>
        <v>-6940.4684098378093</v>
      </c>
      <c r="I18" s="81">
        <f t="shared" si="3"/>
        <v>-8127.284455234676</v>
      </c>
      <c r="J18" s="81">
        <f t="shared" si="3"/>
        <v>-6215.6365927899442</v>
      </c>
      <c r="K18" s="81">
        <f t="shared" si="3"/>
        <v>-7697.5852247450448</v>
      </c>
    </row>
    <row r="19" spans="2:11">
      <c r="D19" s="28"/>
      <c r="E19" s="28"/>
      <c r="G19" s="32"/>
      <c r="H19" s="32"/>
      <c r="I19" s="32"/>
      <c r="J19" s="32"/>
      <c r="K19" s="32"/>
    </row>
    <row r="20" spans="2:11">
      <c r="B20" s="9" t="s">
        <v>127</v>
      </c>
      <c r="D20" s="28">
        <f>'P&amp;L'!D15</f>
        <v>-2190.9</v>
      </c>
      <c r="E20" s="28">
        <f>'P&amp;L'!E15</f>
        <v>-2663.92</v>
      </c>
      <c r="F20" s="28">
        <f>'P&amp;L'!F15</f>
        <v>0</v>
      </c>
      <c r="G20" s="29">
        <f>'P&amp;L'!G15</f>
        <v>-4635.2208000000001</v>
      </c>
      <c r="H20" s="29">
        <f>'P&amp;L'!H15</f>
        <v>-8065.2841920000001</v>
      </c>
      <c r="I20" s="29">
        <f>'P&amp;L'!I15</f>
        <v>-14033.59449408</v>
      </c>
      <c r="J20" s="29">
        <f>'P&amp;L'!J15</f>
        <v>-24418.454419699199</v>
      </c>
      <c r="K20" s="29">
        <f>'P&amp;L'!K15</f>
        <v>-42488.110690276604</v>
      </c>
    </row>
    <row r="21" spans="2:11">
      <c r="B21" s="9" t="s">
        <v>126</v>
      </c>
      <c r="C21" s="50"/>
      <c r="D21" s="28">
        <f>'P&amp;L'!D18-'Cash Flow'!D5</f>
        <v>759.55928000000404</v>
      </c>
      <c r="E21" s="28">
        <f>'P&amp;L'!E18-'Cash Flow'!E5</f>
        <v>-3814.88</v>
      </c>
      <c r="F21" s="28">
        <f>'P&amp;L'!F18-'Cash Flow'!F5</f>
        <v>0</v>
      </c>
      <c r="G21" s="29">
        <f>'P&amp;L'!G18-'Cash Flow'!G5</f>
        <v>-4654.1535999999996</v>
      </c>
      <c r="H21" s="29">
        <f>'P&amp;L'!H18-'Cash Flow'!H5</f>
        <v>-5678.067391999999</v>
      </c>
      <c r="I21" s="29">
        <f>'P&amp;L'!I18-'Cash Flow'!I5</f>
        <v>-6927.2422182399987</v>
      </c>
      <c r="J21" s="29">
        <f>'P&amp;L'!J18-'Cash Flow'!J5</f>
        <v>-8451.2355062527986</v>
      </c>
      <c r="K21" s="29">
        <f>'P&amp;L'!K18-'Cash Flow'!K5</f>
        <v>-10310.507317628413</v>
      </c>
    </row>
    <row r="22" spans="2:11">
      <c r="B22" s="9" t="s">
        <v>128</v>
      </c>
      <c r="D22" s="9">
        <f>BS!D15-BS!C15</f>
        <v>9352.3999999999942</v>
      </c>
      <c r="E22" s="9">
        <f>BS!E15-BS!D15</f>
        <v>475.39999999999418</v>
      </c>
      <c r="F22" s="9">
        <f>BS!F15-BS!E15</f>
        <v>-51120.799999999996</v>
      </c>
      <c r="G22" s="84">
        <f>BS!G15-BS!E15</f>
        <v>0</v>
      </c>
      <c r="H22" s="84">
        <f>BS!H15-BS!G15</f>
        <v>0</v>
      </c>
      <c r="I22" s="84">
        <f>BS!I15-BS!H15</f>
        <v>0</v>
      </c>
      <c r="J22" s="84">
        <f>BS!J15-BS!I15</f>
        <v>0</v>
      </c>
      <c r="K22" s="84">
        <f>BS!K15-BS!J15</f>
        <v>0</v>
      </c>
    </row>
    <row r="23" spans="2:11">
      <c r="B23" s="52" t="s">
        <v>130</v>
      </c>
      <c r="C23" s="52"/>
      <c r="D23" s="53">
        <f>BS!D16-BS!C16-'P&amp;L'!D19</f>
        <v>-4214.2613333332665</v>
      </c>
      <c r="E23" s="53">
        <f>BS!E16-BS!D16-'P&amp;L'!E19</f>
        <v>-12129.644000000022</v>
      </c>
      <c r="F23" s="53">
        <f>BS!F16-BS!E16-'P&amp;L'!F19</f>
        <v>-91868.353574602996</v>
      </c>
      <c r="G23" s="85">
        <f>BS!G16-BS!E16-'P&amp;L'!G19</f>
        <v>0</v>
      </c>
      <c r="H23" s="85">
        <f>BS!H16-BS!G16-'P&amp;L'!H19</f>
        <v>0</v>
      </c>
      <c r="I23" s="85">
        <f>BS!I16-BS!H16-'P&amp;L'!I19</f>
        <v>0</v>
      </c>
      <c r="J23" s="85">
        <f>BS!J16-BS!I16-'P&amp;L'!J19</f>
        <v>0</v>
      </c>
      <c r="K23" s="85">
        <f>BS!K16-BS!J16-'P&amp;L'!K19</f>
        <v>0</v>
      </c>
    </row>
    <row r="24" spans="2:11">
      <c r="B24" s="81" t="s">
        <v>129</v>
      </c>
      <c r="C24" s="81"/>
      <c r="D24" s="81">
        <f>SUM(D18:D23)</f>
        <v>7618.482666666745</v>
      </c>
      <c r="E24" s="81">
        <f t="shared" ref="E24:K24" si="4">SUM(E18:E23)</f>
        <v>-11236.090425397037</v>
      </c>
      <c r="F24" s="81">
        <f t="shared" si="4"/>
        <v>-17303.153574602984</v>
      </c>
      <c r="G24" s="81">
        <f t="shared" si="4"/>
        <v>-11886.036698229227</v>
      </c>
      <c r="H24" s="81">
        <f t="shared" si="4"/>
        <v>-20683.819993837809</v>
      </c>
      <c r="I24" s="81">
        <f t="shared" si="4"/>
        <v>-29088.121167554673</v>
      </c>
      <c r="J24" s="81">
        <f t="shared" si="4"/>
        <v>-39085.326518741946</v>
      </c>
      <c r="K24" s="81">
        <f t="shared" si="4"/>
        <v>-60496.203232650063</v>
      </c>
    </row>
    <row r="26" spans="2:11">
      <c r="G26" s="28"/>
      <c r="H26" s="28"/>
      <c r="I26" s="28"/>
      <c r="J26" s="28"/>
      <c r="K26" s="28"/>
    </row>
    <row r="27" spans="2:11">
      <c r="B27" s="9" t="s">
        <v>131</v>
      </c>
      <c r="D27" s="45">
        <f>BS!C10</f>
        <v>11791.199999999999</v>
      </c>
      <c r="E27" s="45">
        <f>BS!D10</f>
        <v>19408.8</v>
      </c>
      <c r="F27" s="45">
        <f>BS!E10</f>
        <v>8173.6</v>
      </c>
      <c r="G27" s="45">
        <f>BS!G10</f>
        <v>0</v>
      </c>
      <c r="H27" s="45">
        <f>BS!G10</f>
        <v>0</v>
      </c>
      <c r="I27" s="45">
        <f>BS!H10</f>
        <v>0</v>
      </c>
      <c r="J27" s="45">
        <f>BS!I10</f>
        <v>0</v>
      </c>
      <c r="K27" s="45">
        <f>BS!J10</f>
        <v>0</v>
      </c>
    </row>
    <row r="28" spans="2:11">
      <c r="B28" s="9" t="s">
        <v>132</v>
      </c>
      <c r="D28" s="9">
        <f>SUM(D27,D24)</f>
        <v>19409.682666666744</v>
      </c>
      <c r="E28" s="9">
        <f>SUM(E27,E24)</f>
        <v>8172.7095746029627</v>
      </c>
      <c r="F28" s="9">
        <f t="shared" ref="F28:K28" si="5">SUM(F27,F24)</f>
        <v>-9129.5535746029836</v>
      </c>
      <c r="G28" s="9">
        <f t="shared" si="5"/>
        <v>-11886.036698229227</v>
      </c>
      <c r="H28" s="9">
        <f t="shared" si="5"/>
        <v>-20683.819993837809</v>
      </c>
      <c r="I28" s="9">
        <f t="shared" si="5"/>
        <v>-29088.121167554673</v>
      </c>
      <c r="J28" s="9">
        <f t="shared" si="5"/>
        <v>-39085.326518741946</v>
      </c>
      <c r="K28" s="9">
        <f t="shared" si="5"/>
        <v>-60496.203232650063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8"/>
  <sheetViews>
    <sheetView zoomScale="130" zoomScaleNormal="130" workbookViewId="0">
      <selection activeCell="C20" sqref="C20"/>
    </sheetView>
  </sheetViews>
  <sheetFormatPr defaultColWidth="9.140625" defaultRowHeight="12"/>
  <cols>
    <col min="1" max="1" width="2" style="5" customWidth="1"/>
    <col min="2" max="2" width="22.7109375" style="5" customWidth="1"/>
    <col min="3" max="3" width="12.42578125" style="5" customWidth="1"/>
    <col min="4" max="4" width="19.28515625" style="5" customWidth="1"/>
    <col min="5" max="5" width="5.85546875" style="5" customWidth="1"/>
    <col min="6" max="6" width="2" style="5" customWidth="1"/>
    <col min="7" max="7" width="5.42578125" style="5" customWidth="1"/>
    <col min="8" max="8" width="10.7109375" style="5" bestFit="1" customWidth="1"/>
    <col min="9" max="11" width="11.42578125" style="5" bestFit="1" customWidth="1"/>
    <col min="12" max="12" width="2" style="5" customWidth="1"/>
    <col min="13" max="16384" width="9.140625" style="5"/>
  </cols>
  <sheetData>
    <row r="1" spans="2:13" ht="15.75">
      <c r="B1" s="4" t="s">
        <v>2</v>
      </c>
    </row>
    <row r="3" spans="2:13">
      <c r="B3" s="5" t="s">
        <v>133</v>
      </c>
      <c r="C3" s="86">
        <v>6.5333993416671121E-2</v>
      </c>
    </row>
    <row r="4" spans="2:13">
      <c r="B4" s="5" t="s">
        <v>143</v>
      </c>
      <c r="C4" s="86">
        <v>0.02</v>
      </c>
    </row>
    <row r="5" spans="2:13">
      <c r="G5" s="5">
        <v>1</v>
      </c>
      <c r="H5" s="5">
        <v>2</v>
      </c>
      <c r="I5" s="5">
        <v>3</v>
      </c>
      <c r="J5" s="5">
        <v>4</v>
      </c>
      <c r="K5" s="5">
        <v>5</v>
      </c>
    </row>
    <row r="6" spans="2:13" ht="36.75" thickBot="1">
      <c r="B6" s="15" t="s">
        <v>42</v>
      </c>
      <c r="C6" s="16" t="s">
        <v>54</v>
      </c>
      <c r="D6" s="16" t="s">
        <v>55</v>
      </c>
      <c r="E6" s="16" t="s">
        <v>56</v>
      </c>
      <c r="F6" s="19"/>
      <c r="G6" s="17" t="s">
        <v>57</v>
      </c>
      <c r="H6" s="17" t="s">
        <v>58</v>
      </c>
      <c r="I6" s="17" t="s">
        <v>59</v>
      </c>
      <c r="J6" s="17" t="s">
        <v>60</v>
      </c>
      <c r="K6" s="17" t="s">
        <v>61</v>
      </c>
      <c r="M6" s="20" t="s">
        <v>46</v>
      </c>
    </row>
    <row r="7" spans="2:13">
      <c r="B7" s="5" t="s">
        <v>134</v>
      </c>
      <c r="D7" s="11">
        <f>'Cash Flow'!D18</f>
        <v>3911.6847200000129</v>
      </c>
      <c r="E7" s="11">
        <f>'Cash Flow'!E18</f>
        <v>6896.9535746029924</v>
      </c>
      <c r="F7" s="11">
        <f>'Cash Flow'!F18</f>
        <v>125686</v>
      </c>
      <c r="G7" s="25">
        <f>-'Cash Flow'!G18</f>
        <v>2596.6622982292274</v>
      </c>
      <c r="H7" s="25">
        <f>-'Cash Flow'!H18</f>
        <v>6940.4684098378093</v>
      </c>
      <c r="I7" s="25">
        <f>-'Cash Flow'!I18</f>
        <v>8127.284455234676</v>
      </c>
      <c r="J7" s="25">
        <f>-'Cash Flow'!J18</f>
        <v>6215.6365927899442</v>
      </c>
      <c r="K7" s="25">
        <f>-'Cash Flow'!K18</f>
        <v>7697.5852247450448</v>
      </c>
    </row>
    <row r="8" spans="2:13" ht="3.75" customHeight="1">
      <c r="G8" s="25"/>
      <c r="H8" s="25"/>
      <c r="I8" s="25"/>
      <c r="J8" s="25"/>
      <c r="K8" s="25"/>
    </row>
    <row r="9" spans="2:13">
      <c r="B9" s="5" t="s">
        <v>135</v>
      </c>
      <c r="G9" s="47">
        <f>1/(1+$C$3)^G5</f>
        <v>0.93867276007298328</v>
      </c>
      <c r="H9" s="47">
        <f t="shared" ref="H9:K9" si="0">1/(1+$C$3)^H5</f>
        <v>0.88110655050303244</v>
      </c>
      <c r="I9" s="47">
        <f t="shared" si="0"/>
        <v>0.82707071767906692</v>
      </c>
      <c r="J9" s="47">
        <f t="shared" si="0"/>
        <v>0.77634875333935283</v>
      </c>
      <c r="K9" s="47">
        <f t="shared" si="0"/>
        <v>0.72873742707627009</v>
      </c>
    </row>
    <row r="10" spans="2:13">
      <c r="B10" s="21" t="s">
        <v>136</v>
      </c>
      <c r="C10" s="21"/>
      <c r="D10" s="21"/>
      <c r="E10" s="21"/>
      <c r="F10" s="33"/>
      <c r="G10" s="32">
        <f>G9*G7</f>
        <v>2437.4161664562848</v>
      </c>
      <c r="H10" s="32">
        <f t="shared" ref="H10:K10" si="1">H9*H7</f>
        <v>6115.2921794674594</v>
      </c>
      <c r="I10" s="32">
        <f t="shared" si="1"/>
        <v>6721.8389871728677</v>
      </c>
      <c r="J10" s="32">
        <f t="shared" si="1"/>
        <v>4825.5017200229358</v>
      </c>
      <c r="K10" s="32">
        <f t="shared" si="1"/>
        <v>5609.5184513810163</v>
      </c>
    </row>
    <row r="13" spans="2:13">
      <c r="B13" s="56"/>
      <c r="C13" s="56"/>
      <c r="D13" s="56"/>
      <c r="E13" s="56"/>
      <c r="F13" s="56"/>
      <c r="G13" s="56"/>
      <c r="H13" s="56"/>
      <c r="I13" s="56"/>
      <c r="J13" s="56"/>
      <c r="K13" s="56"/>
    </row>
    <row r="14" spans="2:13">
      <c r="C14" s="11"/>
      <c r="E14" s="39"/>
      <c r="F14" s="48"/>
      <c r="G14" s="22"/>
    </row>
    <row r="15" spans="2:13">
      <c r="B15" s="91" t="s">
        <v>2</v>
      </c>
      <c r="C15" s="91"/>
      <c r="D15" s="91"/>
      <c r="E15" s="91"/>
      <c r="F15" s="91"/>
      <c r="G15" s="91"/>
      <c r="H15" s="91"/>
      <c r="I15" s="91"/>
      <c r="J15" s="91"/>
      <c r="K15" s="91"/>
    </row>
    <row r="16" spans="2:13">
      <c r="C16" s="11"/>
      <c r="E16" s="39"/>
      <c r="F16" s="48"/>
      <c r="G16" s="22"/>
    </row>
    <row r="17" spans="2:11">
      <c r="B17" s="21" t="s">
        <v>137</v>
      </c>
      <c r="C17" s="33">
        <f>SUM(G10:K10)</f>
        <v>25709.567504500563</v>
      </c>
      <c r="D17" s="49">
        <f>C17/$C$20</f>
        <v>2.5709567507969974E-2</v>
      </c>
      <c r="E17" s="33"/>
      <c r="F17" s="21"/>
    </row>
    <row r="18" spans="2:11">
      <c r="B18" s="5" t="s">
        <v>138</v>
      </c>
      <c r="C18" s="11">
        <f>C17*(1+C4)/(C3-C4)</f>
        <v>578456.84613672376</v>
      </c>
      <c r="D18" s="49">
        <f t="shared" ref="D18:D19" si="2">C18/$C$20</f>
        <v>0.57845684621478433</v>
      </c>
      <c r="E18" s="11"/>
    </row>
    <row r="19" spans="2:11">
      <c r="B19" s="5" t="s">
        <v>139</v>
      </c>
      <c r="C19" s="11">
        <f>C18*K9</f>
        <v>421543.15372832993</v>
      </c>
      <c r="D19" s="49">
        <f t="shared" si="2"/>
        <v>0.42154315378521562</v>
      </c>
      <c r="E19" s="11"/>
    </row>
    <row r="20" spans="2:11">
      <c r="B20" s="67" t="s">
        <v>140</v>
      </c>
      <c r="C20" s="68">
        <f>C19+C18</f>
        <v>999999.99986505369</v>
      </c>
      <c r="D20" s="21"/>
      <c r="E20" s="33"/>
      <c r="F20" s="21"/>
    </row>
    <row r="21" spans="2:11">
      <c r="B21" s="5" t="s">
        <v>108</v>
      </c>
      <c r="C21" s="5">
        <f>-BS!E15</f>
        <v>-51120.799999999996</v>
      </c>
      <c r="H21" s="91" t="s">
        <v>133</v>
      </c>
      <c r="I21" s="91"/>
      <c r="J21" s="91"/>
      <c r="K21" s="91"/>
    </row>
    <row r="22" spans="2:11" ht="15" customHeight="1">
      <c r="B22" s="5" t="s">
        <v>141</v>
      </c>
      <c r="C22" s="5">
        <f>BS!E10</f>
        <v>8173.6</v>
      </c>
      <c r="E22" s="91" t="s">
        <v>144</v>
      </c>
      <c r="G22" s="34">
        <f>C20</f>
        <v>999999.99986505369</v>
      </c>
      <c r="H22" s="22">
        <v>0.09</v>
      </c>
      <c r="I22" s="22">
        <v>0.1</v>
      </c>
      <c r="J22" s="22">
        <v>0.13</v>
      </c>
      <c r="K22" s="22">
        <v>0.12</v>
      </c>
    </row>
    <row r="23" spans="2:11">
      <c r="B23" s="5" t="s">
        <v>142</v>
      </c>
      <c r="C23" s="5">
        <f>SUM(C20:C22)</f>
        <v>957052.79986505362</v>
      </c>
      <c r="E23" s="91"/>
      <c r="G23" s="22">
        <v>0.01</v>
      </c>
      <c r="H23" s="88">
        <f t="dataTable" ref="H23:K26" dt2D="1" dtr="1" r1="C3" r2="C4"/>
        <v>497968.71867824427</v>
      </c>
      <c r="I23" s="87">
        <v>422518.53842784505</v>
      </c>
      <c r="J23" s="87">
        <v>277306.20853138901</v>
      </c>
      <c r="K23" s="87">
        <v>315960.41639988928</v>
      </c>
    </row>
    <row r="24" spans="2:11">
      <c r="E24" s="91"/>
      <c r="G24" s="22">
        <v>0.02</v>
      </c>
      <c r="H24" s="89">
        <v>574741.83089313621</v>
      </c>
      <c r="I24" s="5">
        <v>480039.62658015074</v>
      </c>
      <c r="J24" s="5">
        <v>305511.07042522077</v>
      </c>
      <c r="K24" s="5">
        <v>350997.61108977802</v>
      </c>
    </row>
    <row r="25" spans="2:11">
      <c r="E25" s="91"/>
      <c r="G25" s="22">
        <v>0.03</v>
      </c>
      <c r="H25" s="90">
        <v>677105.98051299225</v>
      </c>
      <c r="I25" s="11">
        <v>553995.31134740077</v>
      </c>
      <c r="J25" s="11">
        <v>339356.90469781868</v>
      </c>
      <c r="K25" s="11">
        <v>393820.84904408641</v>
      </c>
    </row>
    <row r="26" spans="2:11">
      <c r="E26" s="91"/>
      <c r="G26" s="22">
        <v>0.04</v>
      </c>
      <c r="H26" s="89">
        <v>820415.78998079058</v>
      </c>
      <c r="I26" s="11">
        <v>652602.89103706763</v>
      </c>
      <c r="J26" s="11">
        <v>380724.03547543858</v>
      </c>
      <c r="K26" s="11">
        <v>447349.89648697199</v>
      </c>
    </row>
    <row r="27" spans="2:11">
      <c r="G27" s="49"/>
      <c r="H27" s="11"/>
      <c r="I27" s="11"/>
      <c r="J27" s="11"/>
      <c r="K27" s="11"/>
    </row>
    <row r="28" spans="2:11">
      <c r="G28" s="49"/>
      <c r="H28" s="11"/>
      <c r="I28" s="11"/>
      <c r="J28" s="11"/>
      <c r="K28" s="11"/>
    </row>
  </sheetData>
  <mergeCells count="3">
    <mergeCell ref="B15:K15"/>
    <mergeCell ref="H21:K21"/>
    <mergeCell ref="E22:E26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>
      <selection activeCell="D18" sqref="D18"/>
    </sheetView>
  </sheetViews>
  <sheetFormatPr defaultColWidth="9.140625"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50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>
      <selection activeCell="D5" sqref="D5"/>
    </sheetView>
  </sheetViews>
  <sheetFormatPr defaultColWidth="9.140625" defaultRowHeight="12"/>
  <cols>
    <col min="1" max="1" width="2" style="5" customWidth="1"/>
    <col min="2" max="2" width="27.85546875" style="5" bestFit="1" customWidth="1"/>
    <col min="3" max="3" width="9.140625" style="5"/>
    <col min="4" max="6" width="10.5703125" style="5" bestFit="1" customWidth="1"/>
    <col min="7" max="16384" width="9.140625" style="5"/>
  </cols>
  <sheetData>
    <row r="1" spans="2:13" ht="15.75">
      <c r="B1" s="4" t="s">
        <v>1</v>
      </c>
    </row>
    <row r="3" spans="2:13" ht="24">
      <c r="B3" s="6" t="s">
        <v>43</v>
      </c>
      <c r="C3" s="6"/>
      <c r="D3" s="7" t="s">
        <v>73</v>
      </c>
      <c r="E3" s="7" t="s">
        <v>74</v>
      </c>
      <c r="F3" s="7" t="s">
        <v>75</v>
      </c>
    </row>
    <row r="4" spans="2:13">
      <c r="B4" s="5" t="s">
        <v>4</v>
      </c>
      <c r="D4" s="11">
        <v>177203</v>
      </c>
      <c r="E4" s="11">
        <v>188618</v>
      </c>
      <c r="F4" s="11">
        <v>208366</v>
      </c>
    </row>
    <row r="5" spans="2:13">
      <c r="B5" s="5" t="s">
        <v>5</v>
      </c>
      <c r="D5" s="11">
        <v>3520</v>
      </c>
      <c r="E5" s="11">
        <v>2416</v>
      </c>
      <c r="F5" s="11">
        <v>2585</v>
      </c>
      <c r="J5" s="55"/>
      <c r="K5" s="55"/>
      <c r="L5" s="55"/>
      <c r="M5" s="55"/>
    </row>
    <row r="6" spans="2:13">
      <c r="B6" s="30" t="s">
        <v>6</v>
      </c>
      <c r="C6" s="30"/>
      <c r="D6" s="31">
        <f>D4+D5</f>
        <v>180723</v>
      </c>
      <c r="E6" s="31">
        <f>E4+E5</f>
        <v>191034</v>
      </c>
      <c r="F6" s="31">
        <f>F4+F5</f>
        <v>210951</v>
      </c>
    </row>
    <row r="7" spans="2:13">
      <c r="D7" s="11"/>
      <c r="E7" s="11"/>
      <c r="F7" s="11"/>
    </row>
    <row r="8" spans="2:13">
      <c r="B8" s="5" t="s">
        <v>7</v>
      </c>
      <c r="D8" s="11">
        <v>-139903.0394666667</v>
      </c>
      <c r="E8" s="11">
        <v>-138922.98879999999</v>
      </c>
      <c r="F8" s="11">
        <v>-150080.46882539699</v>
      </c>
    </row>
    <row r="9" spans="2:13">
      <c r="B9" s="5" t="s">
        <v>51</v>
      </c>
      <c r="D9" s="11">
        <v>-2491.3280000000004</v>
      </c>
      <c r="E9" s="11">
        <v>-11649.177600000001</v>
      </c>
      <c r="F9" s="11">
        <v>-7442.6495999999997</v>
      </c>
    </row>
    <row r="10" spans="2:13">
      <c r="B10" s="5" t="s">
        <v>8</v>
      </c>
      <c r="D10" s="11">
        <v>-16389.593600000004</v>
      </c>
      <c r="E10" s="11">
        <v>-17878.310399999998</v>
      </c>
      <c r="F10" s="11">
        <v>-22293.312000000005</v>
      </c>
    </row>
    <row r="11" spans="2:13">
      <c r="B11" s="5" t="s">
        <v>9</v>
      </c>
      <c r="D11" s="11">
        <v>-290.72640000000007</v>
      </c>
      <c r="E11" s="11">
        <v>-246.13120000000004</v>
      </c>
      <c r="F11" s="11">
        <v>-120.92160000000001</v>
      </c>
    </row>
    <row r="12" spans="2:13">
      <c r="B12" s="5" t="s">
        <v>10</v>
      </c>
      <c r="D12" s="11">
        <v>-1330.9952000000003</v>
      </c>
      <c r="E12" s="11">
        <v>-1123.4560000000001</v>
      </c>
      <c r="F12" s="11">
        <v>-1452.7744000000002</v>
      </c>
    </row>
    <row r="13" spans="2:13">
      <c r="D13" s="11"/>
      <c r="E13" s="11"/>
      <c r="F13" s="11"/>
    </row>
    <row r="14" spans="2:13">
      <c r="B14" s="30" t="s">
        <v>11</v>
      </c>
      <c r="C14" s="30"/>
      <c r="D14" s="31">
        <f>D6+SUM(D8:D12)</f>
        <v>20317.317333333282</v>
      </c>
      <c r="E14" s="31">
        <f>E6+SUM(E8:E12)</f>
        <v>21213.936000000016</v>
      </c>
      <c r="F14" s="31">
        <f>F6+SUM(F8:F12)</f>
        <v>29560.873574603</v>
      </c>
    </row>
    <row r="15" spans="2:13">
      <c r="D15" s="11"/>
      <c r="E15" s="11"/>
      <c r="F15" s="11"/>
    </row>
    <row r="16" spans="2:13">
      <c r="B16" s="5" t="s">
        <v>12</v>
      </c>
      <c r="D16" s="11">
        <v>-2907.8000000000006</v>
      </c>
      <c r="E16" s="11">
        <v>-4649.8</v>
      </c>
      <c r="F16" s="11">
        <v>-6430.6600000000008</v>
      </c>
    </row>
    <row r="17" spans="2:6">
      <c r="D17" s="11"/>
      <c r="E17" s="11"/>
      <c r="F17" s="11"/>
    </row>
    <row r="18" spans="2:6">
      <c r="B18" s="30" t="s">
        <v>13</v>
      </c>
      <c r="C18" s="30"/>
      <c r="D18" s="31">
        <f>D14+D16</f>
        <v>17409.517333333282</v>
      </c>
      <c r="E18" s="31">
        <f>E14+E16</f>
        <v>16564.136000000017</v>
      </c>
      <c r="F18" s="31">
        <f>F14+F16</f>
        <v>23130.213574603</v>
      </c>
    </row>
    <row r="19" spans="2:6">
      <c r="D19" s="11"/>
      <c r="E19" s="11"/>
      <c r="F19" s="11"/>
    </row>
    <row r="20" spans="2:6">
      <c r="B20" s="5" t="s">
        <v>14</v>
      </c>
      <c r="D20" s="11">
        <v>-1266.3000000000002</v>
      </c>
      <c r="E20" s="11">
        <v>-2190.9</v>
      </c>
      <c r="F20" s="11">
        <v>-2663.92</v>
      </c>
    </row>
    <row r="21" spans="2:6">
      <c r="B21" s="5" t="s">
        <v>15</v>
      </c>
      <c r="D21" s="11">
        <v>-317.58000000000004</v>
      </c>
      <c r="E21" s="11">
        <v>-864.30000000000007</v>
      </c>
      <c r="F21" s="11">
        <v>-320.26</v>
      </c>
    </row>
    <row r="22" spans="2:6">
      <c r="D22" s="11"/>
      <c r="E22" s="11"/>
      <c r="F22" s="11"/>
    </row>
    <row r="23" spans="2:6">
      <c r="B23" s="30" t="s">
        <v>16</v>
      </c>
      <c r="C23" s="30"/>
      <c r="D23" s="31">
        <f>D18+D21+D20</f>
        <v>15825.637333333281</v>
      </c>
      <c r="E23" s="31">
        <f>E18+E21+E20</f>
        <v>13508.936000000018</v>
      </c>
      <c r="F23" s="31">
        <f>F18+F21+F20</f>
        <v>20146.033574603003</v>
      </c>
    </row>
    <row r="24" spans="2:6">
      <c r="D24" s="11"/>
      <c r="E24" s="11"/>
      <c r="F24" s="11"/>
    </row>
    <row r="25" spans="2:6">
      <c r="B25" s="5" t="s">
        <v>17</v>
      </c>
      <c r="D25" s="11">
        <v>-3805.7759999999998</v>
      </c>
      <c r="E25" s="11">
        <v>-3050.192</v>
      </c>
      <c r="F25" s="11">
        <v>-3814.88</v>
      </c>
    </row>
    <row r="26" spans="2:6">
      <c r="D26" s="11"/>
      <c r="E26" s="11"/>
      <c r="F26" s="11"/>
    </row>
    <row r="27" spans="2:6" ht="12.75" thickBot="1">
      <c r="B27" s="8" t="s">
        <v>18</v>
      </c>
      <c r="C27" s="8"/>
      <c r="D27" s="12">
        <f>D23+D25</f>
        <v>12019.861333333281</v>
      </c>
      <c r="E27" s="12">
        <f>E23+E25</f>
        <v>10458.744000000017</v>
      </c>
      <c r="F27" s="12">
        <f>F23+F25</f>
        <v>16331.153574603002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1.Input --&gt;</vt:lpstr>
      <vt:lpstr>P&amp;L assumptions</vt:lpstr>
      <vt:lpstr>BS assumptions</vt:lpstr>
      <vt:lpstr>2.Output--&gt;</vt:lpstr>
      <vt:lpstr>P&amp;L</vt:lpstr>
      <vt:lpstr>BS</vt:lpstr>
      <vt:lpstr>BS source</vt:lpstr>
      <vt:lpstr>Cash Flow</vt:lpstr>
      <vt:lpstr>DCF valuation</vt:lpstr>
      <vt:lpstr>4.Sources --&gt;</vt:lpstr>
      <vt:lpstr>P&amp;L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2025-07-03T07:23:04Z</dcterms:modified>
</cp:coreProperties>
</file>